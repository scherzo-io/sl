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" sheetId="1" r:id="rId5"/>
    <sheet state="hidden" name="Copy of Current" sheetId="2" r:id="rId6"/>
    <sheet state="hidden" name="Upload" sheetId="3" r:id="rId7"/>
    <sheet state="hidden" name="Old Worksheet" sheetId="4" r:id="rId8"/>
    <sheet state="hidden" name="Current SiteUpload" sheetId="5" r:id="rId9"/>
    <sheet state="hidden" name="Sheet1" sheetId="6" r:id="rId10"/>
  </sheets>
  <definedNames>
    <definedName hidden="1" localSheetId="0" name="_xlnm._FilterDatabase">Current!$A$1:$Y$1000</definedName>
    <definedName hidden="1" localSheetId="1" name="_xlnm._FilterDatabase">'Copy of Current'!$A$1:$AD$47</definedName>
    <definedName hidden="1" localSheetId="3" name="_xlnm._FilterDatabase">'Old Worksheet'!$A$1:$X$47</definedName>
    <definedName hidden="1" localSheetId="4" name="_xlnm._FilterDatabase">'Current SiteUpload'!$A$1:$Z$46</definedName>
  </definedNames>
  <calcPr/>
</workbook>
</file>

<file path=xl/sharedStrings.xml><?xml version="1.0" encoding="utf-8"?>
<sst xmlns="http://schemas.openxmlformats.org/spreadsheetml/2006/main" count="2003" uniqueCount="533">
  <si>
    <t>ID</t>
  </si>
  <si>
    <t>id</t>
  </si>
  <si>
    <t>Wordpress ID</t>
  </si>
  <si>
    <t>Correct ID</t>
  </si>
  <si>
    <t>Order</t>
  </si>
  <si>
    <t>Title</t>
  </si>
  <si>
    <t>Order of apperance</t>
  </si>
  <si>
    <t>Location</t>
  </si>
  <si>
    <t>Size (Sq. Ft)</t>
  </si>
  <si>
    <t>Role</t>
  </si>
  <si>
    <t>Worksheet Role</t>
  </si>
  <si>
    <t>Project Gallery</t>
  </si>
  <si>
    <t>Designed By</t>
  </si>
  <si>
    <t>Worksheet Designed By</t>
  </si>
  <si>
    <t>Architecture by</t>
  </si>
  <si>
    <t>Worksheet Architecture</t>
  </si>
  <si>
    <t>Categories</t>
  </si>
  <si>
    <t>Permalink</t>
  </si>
  <si>
    <t>Image Featured</t>
  </si>
  <si>
    <t>Slug</t>
  </si>
  <si>
    <t>Sort Order</t>
  </si>
  <si>
    <t>Boqueria Restaurant</t>
  </si>
  <si>
    <t>Midtown</t>
  </si>
  <si>
    <t>General Contractor</t>
  </si>
  <si>
    <t>Category</t>
  </si>
  <si>
    <t>Sub-Category / Filter</t>
  </si>
  <si>
    <t>Link</t>
  </si>
  <si>
    <t>Grand Ole Opry City Stage</t>
  </si>
  <si>
    <t>Times Square</t>
  </si>
  <si>
    <t>Construction Manager</t>
  </si>
  <si>
    <t>SWA Architecture, Morris Nathanson Interior Design</t>
  </si>
  <si>
    <t>Studio Razavi</t>
  </si>
  <si>
    <t>Bill White</t>
  </si>
  <si>
    <t>Commercial</t>
  </si>
  <si>
    <t>https://www.streamlineusa.com/commercial/grand-ole-opry-city-stage/</t>
  </si>
  <si>
    <t>Restaurant</t>
  </si>
  <si>
    <t>https://www.streamlineusa.com/commercial/boqueria-restaurant/</t>
  </si>
  <si>
    <t>12th st townhouse</t>
  </si>
  <si>
    <t>http://www.staging3.streamlineusa.com/wp-content/uploads/2020/07/5th-Ave-9496-copy.jpg|http://www.staging3.streamlineusa.com/wp-content/uploads/2020/07/5th-Ave-9495-copy.jpg|http://www.staging3.streamlineusa.com/wp-content/uploads/2020/07/5th-Ave-9494-copy.jpg|http://www.staging3.streamlineusa.com/wp-content/uploads/2020/07/5th-Ave-9493-copy.jpg|http://www.staging3.streamlineusa.com/wp-content/uploads/2020/07/5th-Ave-9492-copy.jpg|http://www.staging3.streamlineusa.com/wp-content/uploads/2020/07/5th-Ave-9491-copy.jpg|http://www.staging3.streamlineusa.com/wp-content/uploads/2020/07/5th-Ave-9490-copy.jpg|http://www.staging3.streamlineusa.com/wp-content/uploads/2020/07/5th-Ave-9488-copy.jpg|http://www.staging3.streamlineusa.com/wp-content/uploads/2020/07/5th-Ave-9485-copy.jpg|http://www.staging3.streamlineusa.com/wp-content/uploads/2020/07/5th-Ave-9483-copy.jpg|http://www.staging3.streamlineusa.com/wp-content/uploads/2020/07/5th-Ave-9481-copy.jpg|http://www.staging3.streamlineusa.com/wp-content/uploads/2020/07/5th-Ave-Featured-copy.jpg</t>
  </si>
  <si>
    <t>Greenwich Village</t>
  </si>
  <si>
    <t>http://www.streamlineusa.com/wp-content/uploads/2019/12/OPRY1.jpg</t>
  </si>
  <si>
    <t>Duane Street Penthouse</t>
  </si>
  <si>
    <t>Tribeca</t>
  </si>
  <si>
    <t>Dean Winters and Diana Gomez</t>
  </si>
  <si>
    <t>SWA Architecture</t>
  </si>
  <si>
    <t>Carpentry Millwork + Finishes</t>
  </si>
  <si>
    <t>Residential</t>
  </si>
  <si>
    <t>Elisabeth de Kergorlay</t>
  </si>
  <si>
    <t>https://www.streamlineusa.com/residential/duane-street-penthouse/</t>
  </si>
  <si>
    <t>http://www.streamlineusa.com/wp-content/uploads/2019/12/Featured-1-scaled.jpg</t>
  </si>
  <si>
    <t>https://www.staging8.streamlineusa.com/residential/5th-avenue-townhouse/</t>
  </si>
  <si>
    <t>grand-ole-opry-city-stage</t>
  </si>
  <si>
    <t>Sugarcane Raw Bar And Grill</t>
  </si>
  <si>
    <t>Brooklyn</t>
  </si>
  <si>
    <t>Bad Roman 10 Columbus Mall</t>
  </si>
  <si>
    <t>General Contractor + Millwork</t>
  </si>
  <si>
    <t>boqueria-restaurant</t>
  </si>
  <si>
    <t>Upper West Side</t>
  </si>
  <si>
    <t>CetraRuddy Design</t>
  </si>
  <si>
    <t>Michael Stillman</t>
  </si>
  <si>
    <t>Lawrence Jones Architecture</t>
  </si>
  <si>
    <t>GRT Architects LLP</t>
  </si>
  <si>
    <t>https://www.streamlineusa.com/commercial/sugar-cane-raw-bar-and-grill/</t>
  </si>
  <si>
    <t>https://www.staging8.streamlineusa.com/wp-content/uploads/2020/07/5th-Ave-Featured-copy.jpg</t>
  </si>
  <si>
    <t>http://www.streamlineusa.com/wp-content/uploads/2019/12/Sugarcane-Featured.jpg</t>
  </si>
  <si>
    <t>e64th St Townhouse</t>
  </si>
  <si>
    <t>Lenox Hill</t>
  </si>
  <si>
    <t>Virginia Tupker Interiors</t>
  </si>
  <si>
    <t>MZA Architecture</t>
  </si>
  <si>
    <t>https://www.streamlineusa.com/residential/e64-st-townhouse/</t>
  </si>
  <si>
    <t>sugar-cane-raw-bar-and-grill</t>
  </si>
  <si>
    <t>http://www.streamlineusa.com/wp-content/uploads/2019/12/20210310_129DuaneSt-3975-2-scaled.jpg</t>
  </si>
  <si>
    <t xml:space="preserve"> Morris Nathanson Interior Design</t>
  </si>
  <si>
    <t>SWA architecture</t>
  </si>
  <si>
    <t>1st ave apartment</t>
  </si>
  <si>
    <t>http://www.staging3.streamlineusa.com/wp-content/uploads/2019/12/Murray-Hill-Featured.jpg|http://www.staging3.streamlineusa.com/wp-content/uploads/2019/12/MURRAYHILL1.jpg|http://www.staging3.streamlineusa.com/wp-content/uploads/2019/12/MURRAYHILL2.jpg|http://www.staging3.streamlineusa.com/wp-content/uploads/2019/12/MURRAYHILL4.jpg|http://www.staging3.streamlineusa.com/wp-content/uploads/2019/12/MURRAYHILL3.jpg|http://www.staging3.streamlineusa.com/wp-content/uploads/2019/12/MURRAYHILL5.jpg|http://www.staging3.streamlineusa.com/wp-content/uploads/2019/12/MURRAYHILL7.jpg</t>
  </si>
  <si>
    <t>Murray Hill</t>
  </si>
  <si>
    <t>https://www.staging8.streamlineusa.com/residential/murray-hill-apartments/</t>
  </si>
  <si>
    <t>duane-street-penthouse</t>
  </si>
  <si>
    <t>Mint Kitchen Restaurant</t>
  </si>
  <si>
    <t>West Village</t>
  </si>
  <si>
    <t>Creme</t>
  </si>
  <si>
    <t>https://www.streamlineusa.com/commercial/mint-kitchen-restaurant/</t>
  </si>
  <si>
    <t>69th St Townhouse</t>
  </si>
  <si>
    <t>http://www.streamlineusa.com/wp-content/uploads/2019/12/Creme_Mint-Kitchen_HR-11-scaled.jpg</t>
  </si>
  <si>
    <t>https://www.staging8.streamlineusa.com/wp-content/uploads/2019/12/Murray-Hill-Featured.jpg</t>
  </si>
  <si>
    <t>Fury Design</t>
  </si>
  <si>
    <t>Adi Gershoni</t>
  </si>
  <si>
    <t>https://www.streamlineusa.com/residential/69th-st-townhouse/</t>
  </si>
  <si>
    <t>mint-kitchen-restaurant</t>
  </si>
  <si>
    <t>Kat &amp; Theo</t>
  </si>
  <si>
    <t>Flatiron District</t>
  </si>
  <si>
    <t>Aviva Collective</t>
  </si>
  <si>
    <t>https://www.streamlineusa.com/commercial/kat-theo/</t>
  </si>
  <si>
    <t>700 Park Ave</t>
  </si>
  <si>
    <t>Upper East Side</t>
  </si>
  <si>
    <t>Griffin Design Studios Jorge Porta</t>
  </si>
  <si>
    <t>Need copy, images are too low res. you can tell by the featured photo</t>
  </si>
  <si>
    <t>Spring Studios, Spring Place</t>
  </si>
  <si>
    <t>Bluarch Design</t>
  </si>
  <si>
    <t>Antonio DiOronzo</t>
  </si>
  <si>
    <t>http://www.streamlineusa.com/wp-content/uploads/2019/12/Screen-Shot-2016-03-02-at-1.48.15-PM.jpg</t>
  </si>
  <si>
    <t>53rd st studio</t>
  </si>
  <si>
    <t>https://www.streamlineusa.com/commercial/spring-studios-spring-place/</t>
  </si>
  <si>
    <t>http://www.staging3.streamlineusa.com/wp-content/uploads/2022/02/20210310_425West53rdSt-3619.jpg|http://www.staging3.streamlineusa.com/wp-content/uploads/2022/02/20210310_425West53rdSt-3624.jpg|http://www.staging3.streamlineusa.com/wp-content/uploads/2022/02/20210310_425West53rdSt-3629.jpg|http://www.staging3.streamlineusa.com/wp-content/uploads/2022/02/20210310_425West53rdSt-3634.jpg|http://www.staging3.streamlineusa.com/wp-content/uploads/2022/02/20210310_425West53rdSt-3639.jpg|http://www.staging3.streamlineusa.com/wp-content/uploads/2022/02/20210310_425West53rdSt-3659.jpg|http://www.staging3.streamlineusa.com/wp-content/uploads/2022/02/20210310_425West53rdSt-3664.jpg|http://www.staging3.streamlineusa.com/wp-content/uploads/2022/02/20210310_425West53rdSt-3669.jpg|http://www.staging3.streamlineusa.com/wp-content/uploads/2022/02/20210310_425West53rdSt-3674.jpg|http://www.staging3.streamlineusa.com/wp-content/uploads/2022/02/20210310_425West53rdSt-3679.jpg|http://www.staging3.streamlineusa.com/wp-content/uploads/2022/02/20210310_425West53rdSt-3684.jpg|http://www.staging3.streamlineusa.com/wp-content/uploads/2022/02/20210310_425West53rdSt-3699.jpg|http://www.staging3.streamlineusa.com/wp-content/uploads/2022/02/20210310_425West53rdSt-3704.jpg|http://www.staging3.streamlineusa.com/wp-content/uploads/2022/02/20210310_425West53rdSt-3709.jpg|http://www.staging3.streamlineusa.com/wp-content/uploads/2022/02/20210310_425West53rdSt-3719.jpg|http://www.staging3.streamlineusa.com/wp-content/uploads/2022/02/20210310_425West53rdSt-3724.jpg|http://www.staging3.streamlineusa.com/wp-content/uploads/2022/02/20210310_425West53rdSt-3739.jpg|http://www.staging3.streamlineusa.com/wp-content/uploads/2022/02/20210310_425West53rdSt-3752.jpg|http://www.staging3.streamlineusa.com/wp-content/uploads/2022/02/20210310_425West53rdSt-3772.jpg|http://www.staging3.streamlineusa.com/wp-content/uploads/2022/02/20210310_425West53rdSt-3776.jpg|http://www.staging3.streamlineusa.com/wp-content/uploads/2022/02/20210310_425West53rdSt-3781.jpg|http://www.staging3.streamlineusa.com/wp-content/uploads/2022/02/20210310_425West53rdSt-3786.jpg|http://www.staging3.streamlineusa.com/wp-content/uploads/2022/02/20210310_425West53rdSt-3791.jpg|http://www.staging3.streamlineusa.com/wp-content/uploads/2019/12/SL-_-Residential-_-215-Madision-_-Residence-3.425x3-1.jpg|http://www.staging3.streamlineusa.com/wp-content/uploads/2019/12/SL-_-Residential-_-215-Madision-_-Residence-3.425x3.jpg</t>
  </si>
  <si>
    <t>Hell's Kitchen</t>
  </si>
  <si>
    <t>LDN interiors</t>
  </si>
  <si>
    <t>https://www.staging8.streamlineusa.com/residential/hells-kitchen-apt/</t>
  </si>
  <si>
    <t>kat-theo</t>
  </si>
  <si>
    <t>ViVVI Daycare Tribeca</t>
  </si>
  <si>
    <t>eleven of eleven architecture</t>
  </si>
  <si>
    <t>https://www.streamlineusa.com/commercial/vivvi-daycare-tribeca/</t>
  </si>
  <si>
    <t>St. Lukes Place townhouse</t>
  </si>
  <si>
    <t>Barlis Wedlick</t>
  </si>
  <si>
    <t>https://www.streamlineusa.com/residential/st-lukes-place-townhouse/</t>
  </si>
  <si>
    <t>https://www.staging8.streamlineusa.com/wp-content/uploads/2022/02/20210310_425West53rdSt-3669.jpg</t>
  </si>
  <si>
    <t>http://www.streamlineusa.com/wp-content/uploads/2019/12/11OF11-VIVVI-F.OUDEMAN11-scaled.jpg</t>
  </si>
  <si>
    <t>Ketchy Shubby</t>
  </si>
  <si>
    <t>Soho</t>
  </si>
  <si>
    <t>Dimitri Hyacinthe Interiors</t>
  </si>
  <si>
    <t>RIP Consulting Steve Salveson</t>
  </si>
  <si>
    <t>vivvi-daycare-tribeca</t>
  </si>
  <si>
    <t>Free People Retail Store</t>
  </si>
  <si>
    <t>Meatpacking District</t>
  </si>
  <si>
    <t>Hudson Street Penthouse</t>
  </si>
  <si>
    <t>Carpentry + Finishes</t>
  </si>
  <si>
    <t>David Levy Architecture</t>
  </si>
  <si>
    <t>Millwork + Finishes</t>
  </si>
  <si>
    <t xml:space="preserve">Alex May </t>
  </si>
  <si>
    <t>https://www.streamlineusa.com/commercial/free-people-retail-store/</t>
  </si>
  <si>
    <t>212Box Architecture</t>
  </si>
  <si>
    <t>https://www.streamlineusa.com/residential/hudson-street-penthouse/</t>
  </si>
  <si>
    <t>http://www.streamlineusa.com/wp-content/uploads/2020/05/20200416_118East64th-3022.jpg</t>
  </si>
  <si>
    <t>69th st townhouse</t>
  </si>
  <si>
    <t>http://www.staging3.streamlineusa.com/wp-content/uploads/2019/12/BlackHenselNYC_10retouched1-scaled.jpg|http://www.staging3.streamlineusa.com/wp-content/uploads/2019/12/BlackHenselNYC_051-scaled.jpg|http://www.staging3.streamlineusa.com/wp-content/uploads/2019/12/BlackHenselNYC_041-scaled.jpg|http://www.staging3.streamlineusa.com/wp-content/uploads/2019/12/BlackHenselNYC_071-scaled.jpg|http://www.staging3.streamlineusa.com/wp-content/uploads/2019/12/BlackHenselNYC_021-scaled.jpg|http://www.staging3.streamlineusa.com/wp-content/uploads/2019/12/BlackHenselNYC_091-scaled.jpg|http://www.staging3.streamlineusa.com/wp-content/uploads/2019/12/BlackHenselNYC_031-scaled.jpg|http://www.staging3.streamlineusa.com/wp-content/uploads/2019/12/BlackHenselNYC_081-scaled.jpg|http://www.staging3.streamlineusa.com/wp-content/uploads/2019/12/BlackHenselNYC_061-scaled.jpg|http://www.staging3.streamlineusa.com/wp-content/uploads/2019/12/BlackHenselNYC_11retouched1-scaled.jpg|http://www.staging3.streamlineusa.com/wp-content/uploads/2019/12/BlackHenselNYC_011-scaled.jpg|http://www.staging3.streamlineusa.com/wp-content/uploads/2019/12/UWS_TOWNHOUSE4.jpg|http://www.staging3.streamlineusa.com/wp-content/uploads/2019/12/UWS_TOWNHOUSE6.jpg|http://www.staging3.streamlineusa.com/wp-content/uploads/2019/12/UWS_TOWNHOUSE1.jpg|http://www.staging3.streamlineusa.com/wp-content/uploads/2019/12/UWS_TOWNHOUSE7-1.jpg</t>
  </si>
  <si>
    <t>http://www.streamlineusa.com/wp-content/uploads/2019/12/Free-People-Updated-Featured.jpg</t>
  </si>
  <si>
    <t>https://www.staging8.streamlineusa.com/residential/upper-west-side-townhouse/</t>
  </si>
  <si>
    <t>e64-st-townhouse</t>
  </si>
  <si>
    <t>Indeed Corporate Office Suite</t>
  </si>
  <si>
    <t>Carpentry + Millwork</t>
  </si>
  <si>
    <t>Indeed corporate</t>
  </si>
  <si>
    <t>free-people-retail-store</t>
  </si>
  <si>
    <t>Bluarch Architecture and Design</t>
  </si>
  <si>
    <t>https://www.staging8.streamlineusa.com/wp-content/uploads/2019/12/BlackHenselNYC_021-scaled.jpg</t>
  </si>
  <si>
    <t>https://www.streamlineusa.com/commercial/indeed-corporate-office-suite/</t>
  </si>
  <si>
    <t>http://www.streamlineusa.com/wp-content/uploads/2019/12/SP2020_3.png</t>
  </si>
  <si>
    <t xml:space="preserve">Momofuku noodle 171 1st ave </t>
  </si>
  <si>
    <t>East Side</t>
  </si>
  <si>
    <t>Richard Lewis</t>
  </si>
  <si>
    <t>spring-studios-spring-place</t>
  </si>
  <si>
    <t>Need copy</t>
  </si>
  <si>
    <t>Burger &amp; Lobster</t>
  </si>
  <si>
    <t>Bryant Park</t>
  </si>
  <si>
    <t>KITH</t>
  </si>
  <si>
    <t>NoHo</t>
  </si>
  <si>
    <t>https://www.streamlineusa.com/commercial/burger-lobster/</t>
  </si>
  <si>
    <t>Snarkitecture</t>
  </si>
  <si>
    <t>84th st Townhouse</t>
  </si>
  <si>
    <t>Retail</t>
  </si>
  <si>
    <t>https://www.streamlineusa.com/commercial/kith/</t>
  </si>
  <si>
    <t>http://www.staging3.streamlineusa.com/wp-content/uploads/2020/05/Jackson-Heights-Featured.png|http://www.staging3.streamlineusa.com/wp-content/uploads/2020/05/IMG_0457.png|http://www.staging3.streamlineusa.com/wp-content/uploads/2020/05/IMG_0458.png|http://www.staging3.streamlineusa.com/wp-content/uploads/2020/05/IMG_0449.png|http://www.staging3.streamlineusa.com/wp-content/uploads/2020/05/IMG_0462.png|http://www.staging3.streamlineusa.com/wp-content/uploads/2020/05/IMG_0448.png|http://www.staging3.streamlineusa.com/wp-content/uploads/2020/05/IMG_0450.png|http://www.staging3.streamlineusa.com/wp-content/uploads/2020/05/IMG_0452.png|http://www.staging3.streamlineusa.com/wp-content/uploads/2020/05/IMG_0455.png</t>
  </si>
  <si>
    <t>Jackson Heights</t>
  </si>
  <si>
    <t>Nathalie Akiya Design</t>
  </si>
  <si>
    <t>https://www.staging8.streamlineusa.com/residential/jackson-heights-townhouse/</t>
  </si>
  <si>
    <t>http://www.streamlineusa.com/wp-content/uploads/2019/12/BURGERLOBSTER3.jpg</t>
  </si>
  <si>
    <t>Riverside Drive Apartment</t>
  </si>
  <si>
    <t>Morningside Heights</t>
  </si>
  <si>
    <t>Samantha Orley Interiors</t>
  </si>
  <si>
    <t>https://www.streamlineusa.com/residential/riverside-drive-apartment/</t>
  </si>
  <si>
    <t>burger-lobster</t>
  </si>
  <si>
    <t>Momofuku KO</t>
  </si>
  <si>
    <t>Bowery</t>
  </si>
  <si>
    <t>Richard Lewis Architecture</t>
  </si>
  <si>
    <t>https://www.streamlineusa.com/commercial/momofuku-ko/</t>
  </si>
  <si>
    <t>https://www.staging8.streamlineusa.com/wp-content/uploads/2020/05/Jackson-Heights-Featured.png</t>
  </si>
  <si>
    <t>Versa at the Marriott Renaissance</t>
  </si>
  <si>
    <t>Herald Square</t>
  </si>
  <si>
    <t>Celano Design</t>
  </si>
  <si>
    <t>SRAA architecture</t>
  </si>
  <si>
    <t>https://www.streamlineusa.com/commercial/versa-marriott/</t>
  </si>
  <si>
    <t>http://www.streamlineusa.com/wp-content/uploads/2019/12/Momofuku-Featured.jpg</t>
  </si>
  <si>
    <t>WARREN ST APT</t>
  </si>
  <si>
    <t>momofuku-ko</t>
  </si>
  <si>
    <t>Atrium Corporate Office</t>
  </si>
  <si>
    <t>Current Interiors</t>
  </si>
  <si>
    <t>Michael Tower Architecture</t>
  </si>
  <si>
    <t>http://www.staging3.streamlineusa.com/wp-content/uploads/2019/12/Streamline-USA-Atrium-5.65x4.11-1.jpg|http://www.staging3.streamlineusa.com/wp-content/uploads/2019/12/Streamline-USA-Atrium-3.69x1.91-1.jpg|http://www.staging3.streamlineusa.com/wp-content/uploads/2019/12/Streamline-USA-Atrium-1.71x1.90-1.jpg|http://www.staging3.streamlineusa.com/wp-content/uploads/2019/12/Streamline-USA-Atrium-8.0x2.25.jpg|http://www.staging3.streamlineusa.com/wp-content/uploads/2019/12/Streamline-USA-Atrium-1.71x1.91-1.jpg</t>
  </si>
  <si>
    <t>https://www.streamlineusa.com/residential/warren-st-apt/</t>
  </si>
  <si>
    <t xml:space="preserve">Alex may </t>
  </si>
  <si>
    <t>Sam Ben avraham</t>
  </si>
  <si>
    <t>Bang 3 Design</t>
  </si>
  <si>
    <t>https://www.staging8.streamlineusa.com/commercial/atrium-corporate-office/</t>
  </si>
  <si>
    <t>new photos coming</t>
  </si>
  <si>
    <t>http://www.streamlineusa.com/wp-content/uploads/2019/12/BlackHenselNYC_021-scaled.jpg</t>
  </si>
  <si>
    <t>http://www.streamlineusa.com/wp-content/uploads/2019/12/Hudson-Featured-1.jpg</t>
  </si>
  <si>
    <t>https://www.staging8.streamlineusa.com/wp-content/uploads/2019/12/Streamline-USA-Atrium-5.65x4.11.jpg</t>
  </si>
  <si>
    <t xml:space="preserve">40 e66th st </t>
  </si>
  <si>
    <t>Cetra Ruddy</t>
  </si>
  <si>
    <t xml:space="preserve">Residential </t>
  </si>
  <si>
    <t>Need pics and copy</t>
  </si>
  <si>
    <t>69th-st-townhouse</t>
  </si>
  <si>
    <t>hudson-street-penthouse</t>
  </si>
  <si>
    <t>Tribeca Loft</t>
  </si>
  <si>
    <t>Bore</t>
  </si>
  <si>
    <t>https://www.streamlineusa.com/residential/tribeca-loft/</t>
  </si>
  <si>
    <t>Claudia Pinto</t>
  </si>
  <si>
    <t>http://www.streamlineusa.com/wp-content/uploads/2019/12/Tribeca-Loft-Featured-scaled.jpg</t>
  </si>
  <si>
    <t>http://www.staging3.streamlineusa.com/wp-content/uploads/2019/12/Featured-1-scaled.jpg|http://www.staging3.streamlineusa.com/wp-content/uploads/2019/12/Boqueria_West40_0518_LizClayman_210-scaled.jpg|http://www.staging3.streamlineusa.com/wp-content/uploads/2019/12/Boqueria_West40_0518_LizClayman_211-scaled.jpg|http://www.staging3.streamlineusa.com/wp-content/uploads/2019/12/Boqueria_West40_0518_LizClayman_212-scaled.jpg|http://www.staging3.streamlineusa.com/wp-content/uploads/2019/12/Boqueria_West40_0518_LizClayman_197-scaled.jpg|http://www.staging3.streamlineusa.com/wp-content/uploads/2019/12/Boqueria_West40_0518_LizClayman_203-scaled.jpg|http://www.staging3.streamlineusa.com/wp-content/uploads/2019/12/Boqueria_West40_0518_LizClayman_206-scaled.jpg|http://www.staging3.streamlineusa.com/wp-content/uploads/2019/12/Boqueria_West40_0518_LizClayman_209-scaled.jpg|http://www.staging3.streamlineusa.com/wp-content/uploads/2019/12/Boqueria_West40_0518_LizClayman_003-scaled.jpg|http://www.staging3.streamlineusa.com/wp-content/uploads/2019/12/Boqueria_West40_0518_LizClayman_128-1-scaled.jpg</t>
  </si>
  <si>
    <t>https://www.staging8.streamlineusa.com/commercial/boqueria-restaurant/</t>
  </si>
  <si>
    <t>Jacobson Sonoba</t>
  </si>
  <si>
    <t>https://www.streamlineusa.com/residential/12th-st-townhouse-greenwich-village/</t>
  </si>
  <si>
    <t>tribeca-loft</t>
  </si>
  <si>
    <t>Madison Ave Duplex</t>
  </si>
  <si>
    <t>Lynch Eisinger Design</t>
  </si>
  <si>
    <t>https://www.streamlineusa.com/residential/madison-ave-duplex-2/</t>
  </si>
  <si>
    <t>https://www.staging8.streamlineusa.com/wp-content/uploads/2019/12/Featured-1-scaled.jpg</t>
  </si>
  <si>
    <t>Design LSM</t>
  </si>
  <si>
    <t>http://www.streamlineusa.com/wp-content/uploads/2019/12/SL-_-Residential-_-215-Madision-_-Residence-3.425x3.jpg</t>
  </si>
  <si>
    <t>http://www.staging3.streamlineusa.com/wp-content/uploads/2019/12/Burger-Lobster-Featured.jpg|http://www.staging3.streamlineusa.com/wp-content/uploads/2019/12/BURGERLOBSTER6.jpg|http://www.staging3.streamlineusa.com/wp-content/uploads/2019/12/BURGERLOBSTER2.jpg|http://www.staging3.streamlineusa.com/wp-content/uploads/2019/12/BURGERLOBSTER7.jpg|http://www.staging3.streamlineusa.com/wp-content/uploads/2019/12/BURGERLOBSTER3.jpg|http://www.staging3.streamlineusa.com/wp-content/uploads/2019/12/BURGERLOBSTER5.jpg|http://www.staging3.streamlineusa.com/wp-content/uploads/2019/12/BURGERLOBSTER4.jpg</t>
  </si>
  <si>
    <t>madison-ave-duplex-2</t>
  </si>
  <si>
    <t>https://www.staging8.streamlineusa.com/commercial/burger-lobster/</t>
  </si>
  <si>
    <t>1st Ave Apartment</t>
  </si>
  <si>
    <t>Horatio St. Townhouse</t>
  </si>
  <si>
    <t>Meat Packing District</t>
  </si>
  <si>
    <t>Tersigni Palachek Design</t>
  </si>
  <si>
    <t>David Bae Architect</t>
  </si>
  <si>
    <t>https://www.streamlineusa.com/residential/1st-ave-apt/</t>
  </si>
  <si>
    <t>https://www.streamlineusa.com/residential/horatio-st-townhouse/</t>
  </si>
  <si>
    <t>http://www.streamlineusa.com/wp-content/uploads/2019/12/Murray-Hill-Featured.jpg</t>
  </si>
  <si>
    <t>https://www.staging8.streamlineusa.com/wp-content/uploads/2019/12/BURGERLOBSTER3.jpg</t>
  </si>
  <si>
    <t>Richard Lewis design</t>
  </si>
  <si>
    <t>1st-ave-apt</t>
  </si>
  <si>
    <t>http://www.streamlineusa.com/wp-content/uploads/2019/12/1-1.jpg</t>
  </si>
  <si>
    <t>Lexington Ave Townhouse</t>
  </si>
  <si>
    <t>Salvatore LaRosa</t>
  </si>
  <si>
    <t>B5 Studio Architects</t>
  </si>
  <si>
    <t>st-lukes-place-townhouse</t>
  </si>
  <si>
    <t>https://www.streamlineusa.com/residential/lexington-ave-townhouse/</t>
  </si>
  <si>
    <t>http://www.staging3.streamlineusa.com/wp-content/uploads/2022/02/20210310_129DuaneSt-3830-scaled.jpg|http://www.staging3.streamlineusa.com/wp-content/uploads/2022/02/20210310_129DuaneSt-3975-scaled.jpg|http://www.staging3.streamlineusa.com/wp-content/uploads/2022/02/20210310_129DuaneSt-3990-scaled.jpg|http://www.staging3.streamlineusa.com/wp-content/uploads/2022/02/20210310_129DuaneSt-3995-scaled.jpg|http://www.staging3.streamlineusa.com/wp-content/uploads/2022/02/20211021_129DuaneSt-8020-scaled.jpg|http://www.staging3.streamlineusa.com/wp-content/uploads/2022/02/20211021_129DuaneSt-8035-scaled.jpg|http://www.staging3.streamlineusa.com/wp-content/uploads/2022/02/20211021_129DuaneSt-8040-scaled.jpg|http://www.staging3.streamlineusa.com/wp-content/uploads/2022/02/20211021_129DuaneSt-8080-scaled.jpg|http://www.staging3.streamlineusa.com/wp-content/uploads/2022/02/20211021_129DuaneSt-8110-scaled.jpg|http://www.staging3.streamlineusa.com/wp-content/uploads/2022/02/20211021_129DuaneSt-8120-scaled.jpg|http://www.staging3.streamlineusa.com/wp-content/uploads/2022/02/20211021_129DuaneSt-8159-scaled.jpg</t>
  </si>
  <si>
    <t>https://www.staging8.streamlineusa.com/residential/duane-street-penthouse/</t>
  </si>
  <si>
    <t>West 23rd St. Townhouse</t>
  </si>
  <si>
    <t>Thompson St. Studio</t>
  </si>
  <si>
    <t>Chelsea</t>
  </si>
  <si>
    <t>SOHO</t>
  </si>
  <si>
    <t>https://www.streamlineusa.com/residential/thompson-st-studio/</t>
  </si>
  <si>
    <t>https://www.streamlineusa.com/residential/west-23rd-townhouse-2/</t>
  </si>
  <si>
    <t>https://www.staging8.streamlineusa.com/wp-content/uploads/2022/02/20211021_129DuaneSt-8110-scaled.jpg</t>
  </si>
  <si>
    <t>http://www.streamlineusa.com/wp-content/uploads/2019/12/THOMPSON_STUDIO-Featured-scaled.jpg</t>
  </si>
  <si>
    <t>Gunter-Seeger</t>
  </si>
  <si>
    <t>AWI Interiors</t>
  </si>
  <si>
    <t>https://www.streamlineusa.com/commercial/gunter-seeger/</t>
  </si>
  <si>
    <t>thompson-st-studio</t>
  </si>
  <si>
    <t>Hudson Yards Mall</t>
  </si>
  <si>
    <t>Hudson Yards</t>
  </si>
  <si>
    <t>e63rd st Penthouse</t>
  </si>
  <si>
    <t>Jack Mazzolla</t>
  </si>
  <si>
    <t>http://www.staging3.streamlineusa.com/wp-content/uploads/2019/12/Upper-East-Side-Penthouse-Featured.jpg|http://www.staging3.streamlineusa.com/wp-content/uploads/2019/12/Upper-East-Side-Penthouse-1.jpg|http://www.staging3.streamlineusa.com/wp-content/uploads/2019/12/Upper-East-Side-Penthouse-2.jpg|http://www.staging3.streamlineusa.com/wp-content/uploads/2019/12/Upper-East-Side-Penthouse-5.jpg|http://www.staging3.streamlineusa.com/wp-content/uploads/2019/12/Upper-East-Side-Penthouse-4.jpg</t>
  </si>
  <si>
    <t>https://www.streamlineusa.com/commercial/hudson-yards-mall/</t>
  </si>
  <si>
    <t>Jennifer Aderholdt Design</t>
  </si>
  <si>
    <t>https://www.staging8.streamlineusa.com/residential/upper-east-side-penthouse/</t>
  </si>
  <si>
    <t>http://www.streamlineusa.com/wp-content/uploads/2019/12/W23-Featured.jpg.png</t>
  </si>
  <si>
    <t>Wyckoff Townhouse</t>
  </si>
  <si>
    <t>Boerum Hill</t>
  </si>
  <si>
    <t>Rachel Kane &amp; Xandro Aventajado</t>
  </si>
  <si>
    <t>https://www.streamlineusa.com/residential/wyckoff-townhouse/</t>
  </si>
  <si>
    <t>https://www.staging8.streamlineusa.com/wp-content/uploads/2019/12/Upper-East-Side-Penthouse-Featured.jpg</t>
  </si>
  <si>
    <t>west-23rd-townhouse-2</t>
  </si>
  <si>
    <t>https://www.streamlineusa.com/residential/e63-st-penthouse/</t>
  </si>
  <si>
    <t>http://www.streamlineusa.com/wp-content/uploads/2019/12/Upper-East-Side-Penthouse-Featured.jpg</t>
  </si>
  <si>
    <t>e64th st Townhouse</t>
  </si>
  <si>
    <t>http://www.streamlineusa.com/wp-content/uploads/2019/12/Indeed-Updated-Featured.jpg</t>
  </si>
  <si>
    <t>http://www.staging3.streamlineusa.com/wp-content/uploads/2020/05/East-Side-Townhouse-Featured.jpg|http://www.staging3.streamlineusa.com/wp-content/uploads/2020/05/20200416_118East64th-3037.jpg|http://www.staging3.streamlineusa.com/wp-content/uploads/2020/05/20200416_118East64th-3047.jpg|http://www.staging3.streamlineusa.com/wp-content/uploads/2020/05/20200416_118East64th-3067.jpg|http://www.staging3.streamlineusa.com/wp-content/uploads/2020/05/20200416_118East64th-3022.jpg|http://www.staging3.streamlineusa.com/wp-content/uploads/2020/05/20200416_118East64th-3077.jpg|http://www.staging3.streamlineusa.com/wp-content/uploads/2020/05/20200416_118East64th-3092.jpg|http://www.staging3.streamlineusa.com/wp-content/uploads/2020/05/20200416_118East64th-3102.jpg|http://www.staging3.streamlineusa.com/wp-content/uploads/2020/05/20200416_118East64th-3112.jpg|http://www.staging3.streamlineusa.com/wp-content/uploads/2020/05/20200416_118East64th-3132.jpg|http://www.staging3.streamlineusa.com/wp-content/uploads/2020/05/20200416_118East64th-3192-e1595516638725.jpg|http://www.staging3.streamlineusa.com/wp-content/uploads/2020/05/20200416_118East64th-3152.jpg|http://www.staging3.streamlineusa.com/wp-content/uploads/2020/05/20200416_118East64th-3162.jpg|http://www.staging3.streamlineusa.com/wp-content/uploads/2020/05/20200416_118East64th-3172.jpg|http://www.staging3.streamlineusa.com/wp-content/uploads/2020/05/20200416_118East64th-3142.jpg|http://www.staging3.streamlineusa.com/wp-content/uploads/2020/05/20200416_118East64th-3182.jpg|http://www.staging3.streamlineusa.com/wp-content/uploads/2020/05/20200416_118East64th-3362.jpg|http://www.staging3.streamlineusa.com/wp-content/uploads/2020/05/20200416_118East64th-3322.jpg|http://www.staging3.streamlineusa.com/wp-content/uploads/2020/05/20200416_118East64th-3392.jpg|http://www.staging3.streamlineusa.com/wp-content/uploads/2020/05/20200416_118East64th-3402.jpg|http://www.staging3.streamlineusa.com/wp-content/uploads/2020/05/20200416_118East64th-3417.jpg|http://www.staging3.streamlineusa.com/wp-content/uploads/2020/05/20200416_118East64th-3332.jpg|http://www.staging3.streamlineusa.com/wp-content/uploads/2020/05/20200416_118East64th-3422.jpg|http://www.staging3.streamlineusa.com/wp-content/uploads/2020/05/20200416_118East64th-3252.jpg|http://www.staging3.streamlineusa.com/wp-content/uploads/2020/05/20200416_118East64th-3327.jpg|http://www.staging3.streamlineusa.com/wp-content/uploads/2020/05/20200416_118East64th-3412.jpg|http://www.staging3.streamlineusa.com/wp-content/uploads/2020/05/20200416_118East64th-3307.jpg|http://www.staging3.streamlineusa.com/wp-content/uploads/2020/05/20200416_118East64th-3282.jpg|http://www.staging3.streamlineusa.com/wp-content/uploads/2020/05/20200416_118East64th-3227.jpg|http://www.staging3.streamlineusa.com/wp-content/uploads/2020/05/20200416_118East64th-3242.jpg|http://www.staging3.streamlineusa.com/wp-content/uploads/2020/05/20200416_118East64th-3302.jpg|http://www.staging3.streamlineusa.com/wp-content/uploads/2020/05/20200416_118East64th-3232.jpg|http://www.staging3.streamlineusa.com/wp-content/uploads/2020/05/20200416_118East64th-3297.jpg|http://www.staging3.streamlineusa.com/wp-content/uploads/2020/05/20200416_118East64th-3277.jpg|http://www.staging3.streamlineusa.com/wp-content/uploads/2020/05/20200416_118East64th-3212.jpg</t>
  </si>
  <si>
    <t>Christian Lynch</t>
  </si>
  <si>
    <t>e63-st-penthouse</t>
  </si>
  <si>
    <t>indeed-corporate-office-suite</t>
  </si>
  <si>
    <t>Virgina Tupker</t>
  </si>
  <si>
    <t>https://www.staging8.streamlineusa.com/residential/east-side-townhouse/</t>
  </si>
  <si>
    <t>Eleven of Eleven architecture</t>
  </si>
  <si>
    <t>Carol Gretter</t>
  </si>
  <si>
    <t>Office (mixed use)</t>
  </si>
  <si>
    <t>http://www.streamlineusa.com/wp-content/uploads/2019/12/Versa-3.jpg</t>
  </si>
  <si>
    <t>https://www.staging8.streamlineusa.com/wp-content/uploads/2020/05/East-Side-Townhouse-Featured.jpg</t>
  </si>
  <si>
    <t>versa-marriott</t>
  </si>
  <si>
    <t>http://www.streamlineusa.com/wp-content/uploads/2019/12/StreamlineUSA-RET-Kith-03-4.37x3.4.jpg</t>
  </si>
  <si>
    <t>http://www.staging3.streamlineusa.com/wp-content/uploads/2019/12/Free-People-by-Streamline-USA-3.69x4.36.jpg|http://www.staging3.streamlineusa.com/wp-content/uploads/2019/12/Free-People-by-Streamline-USA-1.71x2.19-1.jpg|http://www.staging3.streamlineusa.com/wp-content/uploads/2019/12/Free-People-by-Streamline-USA-2.1x3.71-1.jpg|http://www.staging3.streamlineusa.com/wp-content/uploads/2019/12/Free-People-by-Streamline-USA-1.71x2.0.jpg|http://www.staging3.streamlineusa.com/wp-content/uploads/2019/12/Free-People-by-Streamline-USA-5.65x4.11-1.jpg|http://www.staging3.streamlineusa.com/wp-content/uploads/2019/12/IMG_3444-scaled.jpg</t>
  </si>
  <si>
    <t>http://www.streamlineusa.com/wp-content/uploads/2019/12/Gunter-3.jpg</t>
  </si>
  <si>
    <t>https://www.staging8.streamlineusa.com/commercial/free-people-retail-store/</t>
  </si>
  <si>
    <t>kith</t>
  </si>
  <si>
    <t>Vivvi Daycare Hudson Yards</t>
  </si>
  <si>
    <t>gunter-seeger</t>
  </si>
  <si>
    <t>Eleven of Eleven design</t>
  </si>
  <si>
    <t>Carol Gretter Elven of Eleven architecture</t>
  </si>
  <si>
    <t>https://www.streamlineusa.com/commercial/vivvi-daycare-hudson-yards/</t>
  </si>
  <si>
    <t>https://www.staging8.streamlineusa.com/wp-content/uploads/2019/12/Free-People-Updated-Featured.jpg</t>
  </si>
  <si>
    <t>84th st townhouse</t>
  </si>
  <si>
    <t>https://www.streamlineusa.com/residential/84th-st-townhouse/</t>
  </si>
  <si>
    <t>http://www.staging3.streamlineusa.com/wp-content/uploads/2019/12/OPRY1.jpg|http://www.staging3.streamlineusa.com/wp-content/uploads/2019/12/OPRY5.jpg|http://www.staging3.streamlineusa.com/wp-content/uploads/2019/12/OPRY10.jpg|http://www.staging3.streamlineusa.com/wp-content/uploads/2019/12/OPRY11.jpg|http://www.staging3.streamlineusa.com/wp-content/uploads/2019/12/OPRY2.jpg|http://www.staging3.streamlineusa.com/wp-content/uploads/2019/12/OPRY3.jpg|http://www.staging3.streamlineusa.com/wp-content/uploads/2019/12/OPRY4.jpg|http://www.staging3.streamlineusa.com/wp-content/uploads/2019/12/OPRY6.jpg|http://www.staging3.streamlineusa.com/wp-content/uploads/2019/12/OPRY7.jpg|http://www.staging3.streamlineusa.com/wp-content/uploads/2019/12/OPRY8.jpg|http://www.staging3.streamlineusa.com/wp-content/uploads/2019/12/OPRY9.jpg</t>
  </si>
  <si>
    <t>Haus Nightclub</t>
  </si>
  <si>
    <t>Lower Manhattan</t>
  </si>
  <si>
    <t>https://www.staging8.streamlineusa.com/commercial/grand-ole-opry-city-stage/</t>
  </si>
  <si>
    <t>John Rawlins Design</t>
  </si>
  <si>
    <t>http://www.streamlineusa.com/wp-content/uploads/2022/02/420-riverside-134.jpg</t>
  </si>
  <si>
    <t>https://www.streamlineusa.com/commercial/haus-nightclub/</t>
  </si>
  <si>
    <t>riverside-drive-apartment</t>
  </si>
  <si>
    <t>https://www.staging8.streamlineusa.com/wp-content/uploads/2019/12/OPRY1.jpg</t>
  </si>
  <si>
    <t>Sullivan St duplex</t>
  </si>
  <si>
    <t>Butter and Eggs Design</t>
  </si>
  <si>
    <t>https://www.streamlineusa.com/residential/sullivan-st-duplex-2/</t>
  </si>
  <si>
    <t>https://www.streamlineusa.com/commercial/autrium-corporate-office/</t>
  </si>
  <si>
    <t>http://www.streamlineusa.com/wp-content/uploads/2019/12/Streamline-USA-Atrium-5.65x4.11.jpg</t>
  </si>
  <si>
    <t>Ground Central Coffee Company</t>
  </si>
  <si>
    <t>http://www.staging3.streamlineusa.com/wp-content/uploads/2020/05/Ground-Central-Featured.jpg|http://www.staging3.streamlineusa.com/wp-content/uploads/2020/05/20200422_2ndAveGroundCentral-3773.jpg|http://www.staging3.streamlineusa.com/wp-content/uploads/2020/05/20200422_2ndAveGroundCentral-3728.jpg|http://www.staging3.streamlineusa.com/wp-content/uploads/2020/05/20200422_2ndAveGroundCentral-3763.jpg|http://www.staging3.streamlineusa.com/wp-content/uploads/2020/05/20200422_2ndAveGroundCentral-3753.jpg|http://www.staging3.streamlineusa.com/wp-content/uploads/2020/05/20200422_2ndAveGroundCentral-3788.jpg|http://www.staging3.streamlineusa.com/wp-content/uploads/2020/05/20200422_2ndAveGroundCentral-3708.jpg|http://www.staging3.streamlineusa.com/wp-content/uploads/2020/05/20200422_2ndAveGroundCentral-3733.jpg|http://www.staging3.streamlineusa.com/wp-content/uploads/2020/05/20200422_2ndAveGroundCentral-3718.jpg</t>
  </si>
  <si>
    <t>Daniel O'Connor Architects</t>
  </si>
  <si>
    <t>https://www.staging8.streamlineusa.com/commercial/ground-central-coffee-company/</t>
  </si>
  <si>
    <t>Mexicue</t>
  </si>
  <si>
    <t>autrium-corporate-office</t>
  </si>
  <si>
    <t>Treehouse Designs</t>
  </si>
  <si>
    <t>Mackage SoHo</t>
  </si>
  <si>
    <t>SoHo</t>
  </si>
  <si>
    <t>Burdifilek</t>
  </si>
  <si>
    <t>https://www.staging8.streamlineusa.com/wp-content/uploads/2020/05/Ground-Central-Featured.jpg</t>
  </si>
  <si>
    <t>https://www.streamlineusa.com/commercial/mackage-soho/</t>
  </si>
  <si>
    <t>Upper West Side Apartment</t>
  </si>
  <si>
    <t>Washington Sq. Dermatology</t>
  </si>
  <si>
    <t>Yael and Ori Morag</t>
  </si>
  <si>
    <t>Dr. Samer Jaber</t>
  </si>
  <si>
    <t>https://www.streamlineusa.com/commercial/upper-east-side-townhouse/</t>
  </si>
  <si>
    <t>Günter Seeger</t>
  </si>
  <si>
    <t>https://www.streamlineusa.com/residential/upper-west-side-apartment/</t>
  </si>
  <si>
    <t>http://www.staging3.streamlineusa.com/wp-content/uploads/2019/12/Gunter-3.jpg|http://www.staging3.streamlineusa.com/wp-content/uploads/2019/12/BLURRY.jpg|http://www.staging3.streamlineusa.com/wp-content/uploads/2019/12/Gunter-4.jpg|http://www.staging3.streamlineusa.com/wp-content/uploads/2019/12/Gunter-Updated-Featured-scaled.jpg|http://www.staging3.streamlineusa.com/wp-content/uploads/2019/12/Gunter-2.jpg|http://www.staging3.streamlineusa.com/wp-content/uploads/2019/12/Gunter-Seeger-Featured.jpg|http://www.staging3.streamlineusa.com/wp-content/uploads/2019/12/Gunter-1.jpg</t>
  </si>
  <si>
    <t>https://www.staging8.streamlineusa.com/commercial/gunter-seeger/</t>
  </si>
  <si>
    <t>http://www.streamlineusa.com/wp-content/uploads/2019/12/wash.jpg</t>
  </si>
  <si>
    <t>My Darling Ivy</t>
  </si>
  <si>
    <t>VJ Moscaritola</t>
  </si>
  <si>
    <t>Studio Stigsby</t>
  </si>
  <si>
    <t>upper-east-side-townhouse</t>
  </si>
  <si>
    <t>https://www.staging8.streamlineusa.com/wp-content/uploads/2019/12/Gunter-3.jpg</t>
  </si>
  <si>
    <t>https://www.streamlineusa.com/commercial/my-darling-ivy/</t>
  </si>
  <si>
    <t>http://www.streamlineusa.com/wp-content/uploads/2019/12/tersigni-palachek-residential-west-village-02.png</t>
  </si>
  <si>
    <t>Lynh Nguyen</t>
  </si>
  <si>
    <t>https://www.streamlineusa.com/residential/53rd-st-studio/</t>
  </si>
  <si>
    <t>http://www.streamlineusa.com/wp-content/uploads/2022/02/20210222_30WarrenSt-0178.jpg</t>
  </si>
  <si>
    <t>horatio-st-townhouse</t>
  </si>
  <si>
    <t>http://www.staging3.streamlineusa.com/wp-content/uploads/2020/07/IMG_6905.jpg|http://www.staging3.streamlineusa.com/wp-content/uploads/2020/07/IMG_6910.jpg|http://www.staging3.streamlineusa.com/wp-content/uploads/2020/07/IMG_6906.jpg|http://www.staging3.streamlineusa.com/wp-content/uploads/2020/07/Haus-Featured.jpg|http://www.staging3.streamlineusa.com/wp-content/uploads/2020/07/IMG_6913.jpg|http://www.staging3.streamlineusa.com/wp-content/uploads/2020/07/IMG_6917.jpg|http://www.staging3.streamlineusa.com/wp-content/uploads/2020/07/IMG_6916.jpg|http://www.staging3.streamlineusa.com/wp-content/uploads/2020/07/IMG_6914.jpg|http://www.staging3.streamlineusa.com/wp-content/uploads/2020/07/IMG_6915.jpg|http://www.staging3.streamlineusa.com/wp-content/uploads/2020/07/IMG_6909.jpg|http://www.staging3.streamlineusa.com/wp-content/uploads/2020/07/IMG_6908.jpg</t>
  </si>
  <si>
    <t>Efrain Perez</t>
  </si>
  <si>
    <t>https://www.staging8.streamlineusa.com/commercial/haus-nightclub/</t>
  </si>
  <si>
    <t>warren-st-apt</t>
  </si>
  <si>
    <t>Samer Jaber</t>
  </si>
  <si>
    <t>Walter Scott Architecture</t>
  </si>
  <si>
    <t>https://www.staging8.streamlineusa.com/wp-content/uploads/2020/07/Haus-Featured.jpg</t>
  </si>
  <si>
    <t>http://www.streamlineusa.com/wp-content/uploads/2020/02/UES-8-e1595540404244.jpg</t>
  </si>
  <si>
    <t>David Levy Design</t>
  </si>
  <si>
    <t>Horatio St Townhouse</t>
  </si>
  <si>
    <t>http://www.staging3.streamlineusa.com/wp-content/uploads/2019/12/tersigni-palachek-residential-west-village-01-1.png|http://www.staging3.streamlineusa.com/wp-content/uploads/2019/12/tersigni-palachek-residential-west-village-05.png|http://www.staging3.streamlineusa.com/wp-content/uploads/2019/12/tersigni-palachek-residential-west-village-02.png|http://www.staging3.streamlineusa.com/wp-content/uploads/2019/12/tersigni-palachek-residential-west-village-04.png|http://www.staging3.streamlineusa.com/wp-content/uploads/2019/12/tersigni-palachek-residential-west-village-08.png|http://www.staging3.streamlineusa.com/wp-content/uploads/2019/12/tersigni-palachek-residential-west-village-06.png|http://www.staging3.streamlineusa.com/wp-content/uploads/2019/12/tersigni-palachek-residential-west-village-07.png|http://www.staging3.streamlineusa.com/wp-content/uploads/2019/12/tersigni-palachek-residential-west-village-03.png|http://www.staging3.streamlineusa.com/wp-content/uploads/2019/12/tersigni-palachek-residential-west-village-09.png|http://www.staging3.streamlineusa.com/wp-content/uploads/2019/12/Horatio-St-3.68x6.74.jpg|http://www.staging3.streamlineusa.com/wp-content/uploads/2019/12/Horatio-St-3.9x3.jpg|http://www.staging3.streamlineusa.com/wp-content/uploads/2019/12/Horatio-St-2.35x3.12.jpg|http://www.staging3.streamlineusa.com/wp-content/uploads/2019/12/Horatio-St-4.50x2.86.jpg|http://www.staging3.streamlineusa.com/wp-content/uploads/2019/12/Horatio-St-2.17x3.12.jpg|http://www.staging3.streamlineusa.com/wp-content/uploads/2019/12/Streamline-Residential-Horatio-12-4.11x5.65.jpg|http://www.staging3.streamlineusa.com/wp-content/uploads/2019/12/Streamline-Residential-Horatio-17-1.71x2.08-1.jpg</t>
  </si>
  <si>
    <t>lexington-ave-townhouse</t>
  </si>
  <si>
    <t>https://www.staging8.streamlineusa.com/residential/horatio-st-townhouse/</t>
  </si>
  <si>
    <t xml:space="preserve">Lua Scremin </t>
  </si>
  <si>
    <t>https://www.staging8.streamlineusa.com/wp-content/uploads/2019/12/tersigni-palachek-residential-west-village-02.png</t>
  </si>
  <si>
    <t>http://www.streamlineusa.com/wp-content/uploads/2020/02/DSC_0847-scaled.jpg</t>
  </si>
  <si>
    <t>sullivan-st-duplex-2</t>
  </si>
  <si>
    <t>Motel 23 Lounge</t>
  </si>
  <si>
    <t>Colin Fuda</t>
  </si>
  <si>
    <t>Atelier New York</t>
  </si>
  <si>
    <t>https://www.streamlineusa.com/commercial/motel-23-lounge/</t>
  </si>
  <si>
    <t>http://www.streamlineusa.com/wp-content/uploads/2020/02/IMG_8648-scaled.jpg</t>
  </si>
  <si>
    <t>mackage-soho</t>
  </si>
  <si>
    <t>Wainscott, East Hampton Residence</t>
  </si>
  <si>
    <t>Wainscott, East Hampton</t>
  </si>
  <si>
    <t>http://www.staging3.streamlineusa.com/wp-content/uploads/2019/12/Hudson-Featured.jpg|http://www.staging3.streamlineusa.com/wp-content/uploads/2019/12/Hudson-St-4.375x3.jpg|http://www.staging3.streamlineusa.com/wp-content/uploads/2019/12/i-NFgZ9Fs-X2.jpg|http://www.staging3.streamlineusa.com/wp-content/uploads/2019/12/i-Dpjk2Rc-X2.jpg|http://www.staging3.streamlineusa.com/wp-content/uploads/2019/12/i-CS9WgLM-X2.jpg|http://www.staging3.streamlineusa.com/wp-content/uploads/2019/12/i-7HqhMqw-X2.jpg|http://www.staging3.streamlineusa.com/wp-content/uploads/2019/12/i-Khm4Tpw-X2.jpg|http://www.staging3.streamlineusa.com/wp-content/uploads/2019/12/i-pSZ2SP3-X3.jpg|http://www.staging3.streamlineusa.com/wp-content/uploads/2019/12/i-tVwN3fB-X2.jpg|http://www.staging3.streamlineusa.com/wp-content/uploads/2019/12/i-xTCMsVL-X2.jpg|http://www.staging3.streamlineusa.com/wp-content/uploads/2019/12/i-WcQdmRm-X2.jpg|http://www.staging3.streamlineusa.com/wp-content/uploads/2019/12/i-Nssb2GP-X2.jpg</t>
  </si>
  <si>
    <t>Construction Consultant</t>
  </si>
  <si>
    <t>http://www.streamlineusa.com/wp-content/uploads/2020/07/5th-Ave-Featured-copy.jpg</t>
  </si>
  <si>
    <t>https://www.streamlineusa.com/residential/wainscott-east-hampton-residence/</t>
  </si>
  <si>
    <t>https://www.staging8.streamlineusa.com/residential/hudson-street-penthouse/</t>
  </si>
  <si>
    <t>12th-st-townhouse-greenwich-village</t>
  </si>
  <si>
    <t>https://www.staging8.streamlineusa.com/wp-content/uploads/2019/12/Hudson-Featured-1.jpg</t>
  </si>
  <si>
    <t>https://www.streamlineusa.com/commercial/ground-central-coffee-company/</t>
  </si>
  <si>
    <t>http://www.streamlineusa.com/wp-content/uploads/2020/05/Motel-23-Featured.jpg</t>
  </si>
  <si>
    <t>motel-23-lounge</t>
  </si>
  <si>
    <t>bottom</t>
  </si>
  <si>
    <t>262 Mott St</t>
  </si>
  <si>
    <t xml:space="preserve">Soho </t>
  </si>
  <si>
    <t>Matthew Weiner</t>
  </si>
  <si>
    <t>-</t>
  </si>
  <si>
    <t>HUDSON YARDS MALL</t>
  </si>
  <si>
    <t>need copy</t>
  </si>
  <si>
    <t>http://www.staging3.streamlineusa.com/wp-content/uploads/2022/02/20210222_HudsonYardsMall-0002-scaled.jpg|http://www.staging3.streamlineusa.com/wp-content/uploads/2022/02/20210222_HudsonYardsMall-0007-scaled.jpg|http://www.staging3.streamlineusa.com/wp-content/uploads/2022/02/20210222_HudsonYardsMall-0012-scaled.jpg|http://www.staging3.streamlineusa.com/wp-content/uploads/2022/02/20210222_HudsonYardsMall-0017-scaled.jpg|http://www.staging3.streamlineusa.com/wp-content/uploads/2022/02/20210222_HudsonYardsMall-0022-scaled.jpg|http://www.staging3.streamlineusa.com/wp-content/uploads/2022/02/20210222_HudsonYardsMall-0027-scaled.jpg|http://www.staging3.streamlineusa.com/wp-content/uploads/2022/02/20210222_HudsonYardsMall-0032-scaled.jpg|http://www.staging3.streamlineusa.com/wp-content/uploads/2022/02/20210222_HudsonYardsMall-0037-scaled.jpg|http://www.staging3.streamlineusa.com/wp-content/uploads/2022/02/20210222_HudsonYardsMall-0042-scaled.jpg|http://www.staging3.streamlineusa.com/wp-content/uploads/2022/02/20210222_HudsonYardsMall-0047-scaled.jpg|http://www.staging3.streamlineusa.com/wp-content/uploads/2022/02/20210222_HudsonYardsMall-0057-scaled.jpg|http://www.staging3.streamlineusa.com/wp-content/uploads/2022/02/20210222_HudsonYardsMall-0062-scaled.jpg|http://www.staging3.streamlineusa.com/wp-content/uploads/2022/02/20210222_HudsonYardsMall-0067-scaled.jpg|http://www.staging3.streamlineusa.com/wp-content/uploads/2022/02/20210222_HudsonYardsMall-0072-scaled.jpg|http://www.staging3.streamlineusa.com/wp-content/uploads/2022/02/20210222_HudsonYardsMall-0077-scaled.jpg|http://www.staging3.streamlineusa.com/wp-content/uploads/2022/02/20210222_HudsonYardsMall-0082-scaled.jpg|http://www.staging3.streamlineusa.com/wp-content/uploads/2022/02/20210222_HudsonYardsMall-0087-scaled.jpg|http://www.staging3.streamlineusa.com/wp-content/uploads/2022/02/20210222_HudsonYardsMall-0092-scaled.jpg|http://www.staging3.streamlineusa.com/wp-content/uploads/2022/02/20210222_HudsonYardsMall-0097-scaled.jpg|http://www.staging3.streamlineusa.com/wp-content/uploads/2022/02/20210222_HudsonYardsMall-0127-scaled.jpg|http://www.staging3.streamlineusa.com/wp-content/uploads/2022/02/20210222_HudsonYardsMall-0102-scaled.jpg|http://www.staging3.streamlineusa.com/wp-content/uploads/2022/02/20210222_HudsonYardsMall-0107-scaled.jpg|http://www.staging3.streamlineusa.com/wp-content/uploads/2022/02/20210222_HudsonYardsMall-0112-scaled.jpg|http://www.staging3.streamlineusa.com/wp-content/uploads/2022/02/20210222_HudsonYardsMall-0117-scaled.jpg|http://www.staging3.streamlineusa.com/wp-content/uploads/2022/02/20210222_HudsonYardsMall-0122-scaled.jpg</t>
  </si>
  <si>
    <t>middle</t>
  </si>
  <si>
    <t xml:space="preserve">92 Laight St </t>
  </si>
  <si>
    <t>Holly Jonsson Design</t>
  </si>
  <si>
    <t>Robert Jaimeson design</t>
  </si>
  <si>
    <t>Need Copy</t>
  </si>
  <si>
    <t>652 Hudson st</t>
  </si>
  <si>
    <t>Built In Studios</t>
  </si>
  <si>
    <t>https://www.staging8.streamlineusa.com/commercial/hudson-yards-mall/</t>
  </si>
  <si>
    <t>http://www.streamlineusa.com/wp-content/uploads/2020/05/IMG_1256.png</t>
  </si>
  <si>
    <t>870 UN Plaza</t>
  </si>
  <si>
    <t>149 Madison Ave</t>
  </si>
  <si>
    <t>wainscott-east-hampton-residence</t>
  </si>
  <si>
    <t>220 w19th st Covision Corporate office</t>
  </si>
  <si>
    <t>https://www.staging8.streamlineusa.com/wp-content/uploads/2022/02/20210222_HudsonYardsMall-0087-scaled.jpg</t>
  </si>
  <si>
    <t>218 Carlton Ave Townhouse p</t>
  </si>
  <si>
    <t>144 w23rd st</t>
  </si>
  <si>
    <t xml:space="preserve">514 Broadway Loft </t>
  </si>
  <si>
    <t>Chaps &amp; Co men's barber shop</t>
  </si>
  <si>
    <t>https://paper.design/docs/mcp</t>
  </si>
  <si>
    <t>http://www.streamlineusa.com/wp-content/uploads/2020/05/Ground-Central-Featured.jpg</t>
  </si>
  <si>
    <t>ground-central-coffee-company</t>
  </si>
  <si>
    <t>http://www.staging3.streamlineusa.com/wp-content/uploads/2019/12/SL-_-Commercial-Indeed-02-2.155x2.jpg|http://www.staging3.streamlineusa.com/wp-content/uploads/2019/12/SL-_-Commercial-Indeed-01-4x5.65.jpg|http://www.staging3.streamlineusa.com/wp-content/uploads/2019/12/SL-_-Commercial-Indeed-06-3x2.jpg|http://www.staging3.streamlineusa.com/wp-content/uploads/2019/12/SL-_-Commercial-Indeed-03-2.155x3.445.jpg|http://www.staging3.streamlineusa.com/wp-content/uploads/2019/12/SL-_-Commercial-Indeed-07-1.4x2.jpg|http://www.staging3.streamlineusa.com/wp-content/uploads/2019/12/Indeed-Pic.jpg|http://www.staging3.streamlineusa.com/wp-content/uploads/2019/12/IMG_1216-scaled.jpg|http://www.staging3.streamlineusa.com/wp-content/uploads/2019/12/indeed-nyc-office-4.jpg|http://www.staging3.streamlineusa.com/wp-content/uploads/2019/12/SL-_-Commercial-Indeed-04-2x4.7875-1.jpg|http://www.staging3.streamlineusa.com/wp-content/uploads/2019/12/IMG_1215-scaled.jpg|http://www.staging3.streamlineusa.com/wp-content/uploads/2019/12/SL-_-Commercial-Indeed-05-2x2.155-1.jpg|http://www.staging3.streamlineusa.com/wp-content/uploads/2019/12/IMG_1211-scaled.jpg|http://www.staging3.streamlineusa.com/wp-content/uploads/2019/12/IMG_1213-scaled.jpg|http://www.staging3.streamlineusa.com/wp-content/uploads/2019/12/IMG_1212-scaled.jpg|http://www.staging3.streamlineusa.com/wp-content/uploads/2019/12/IMG_1217-scaled.jpg|http://www.staging3.streamlineusa.com/wp-content/uploads/2019/12/IMG_1214-scaled.jpg</t>
  </si>
  <si>
    <t>https://www.staging8.streamlineusa.com/commercial/indeed-corporate-office-suite/</t>
  </si>
  <si>
    <t>http://www.streamlineusa.com/wp-content/uploads/2020/05/Jackson-Heights-Featured.png</t>
  </si>
  <si>
    <t>https://www.staging8.streamlineusa.com/wp-content/uploads/2019/12/Indeed-Updated-Featured.jpg</t>
  </si>
  <si>
    <t>84th-st-townhouse</t>
  </si>
  <si>
    <t>http://www.streamlineusa.com/wp-content/uploads/2020/05/Upper-West-Side-Apt-Featured.jpg</t>
  </si>
  <si>
    <t>http://www.staging3.streamlineusa.com/wp-content/uploads/2019/12/Screen-Shot-2016-03-02-at-1.48.15-PM.jpg|http://www.staging3.streamlineusa.com/wp-content/uploads/2019/12/Kat-Theo-Featured.jpg|http://www.staging3.streamlineusa.com/wp-content/uploads/2019/12/SL-_-Hospitality-_-2-W21-_-KatTheo-3.125x3-2.jpg|http://www.staging3.streamlineusa.com/wp-content/uploads/2019/12/SL-_-Hospitality-_-2-W21-_-KatTheo-3.125x3-1.jpg|http://www.staging3.streamlineusa.com/wp-content/uploads/2019/12/SL-_-Hospitality-_-2-W21-_-KatTheo-8.175x3.65.jpg|http://www.staging3.streamlineusa.com/wp-content/uploads/2019/12/Screen-Shot-2016-03-02-at-1.48.10-PM.jpg|http://www.staging3.streamlineusa.com/wp-content/uploads/2019/12/Screen-Shot-2016-03-02-at-1.48.02-PM.jpg|http://www.staging3.streamlineusa.com/wp-content/uploads/2019/12/Screen-Shot-2016-03-02-at-1.48.46-PM-1.jpg|http://www.staging3.streamlineusa.com/wp-content/uploads/2019/12/Screen-Shot-2016-03-02-at-1.48.52-PM.jpg|http://www.staging3.streamlineusa.com/wp-content/uploads/2019/12/Screen-Shot-2016-03-02-at-1.48.29-PM.jpg</t>
  </si>
  <si>
    <t>upper-west-side-apartment</t>
  </si>
  <si>
    <t>https://www.staging8.streamlineusa.com/commercial/kat-theo/</t>
  </si>
  <si>
    <t>http://www.streamlineusa.com/wp-content/uploads/2020/05/My-Darling-Ivy-Featured.jpg</t>
  </si>
  <si>
    <t>https://www.staging8.streamlineusa.com/wp-content/uploads/2019/12/Screen-Shot-2016-03-02-at-1.48.15-PM.jpg</t>
  </si>
  <si>
    <t>my-darling-ivy</t>
  </si>
  <si>
    <t>http://www.staging3.streamlineusa.com/wp-content/uploads/2019/12/StreamlineUSA-RET-Kith-02-4x5.65.jpg|http://www.staging3.streamlineusa.com/wp-content/uploads/2019/12/StreamlineUSA-RET-Kith-12-3x2.jpg|http://www.staging3.streamlineusa.com/wp-content/uploads/2019/12/SL-_-Retail-Kith-17-2.155x2-1-scaled.jpg|http://www.staging3.streamlineusa.com/wp-content/uploads/2019/12/StreamlineUSA-RET-Kith-03-2x4.205.jpg|http://www.staging3.streamlineusa.com/wp-content/uploads/2019/12/StreamlineUSA-RET-Kith-13-4.3708x3.4.jpg|http://www.staging3.streamlineusa.com/wp-content/uploads/2019/12/SL-_-Retail-Kith-08-2.155x2.jpg|http://www.staging3.streamlineusa.com/wp-content/uploads/2019/12/StreamlineUSA-RET-Kith-03-4.37x3.4.jpg|http://www.staging3.streamlineusa.com/wp-content/uploads/2019/12/SL-_-Retail-Kith-02-2x3.jpg|http://www.staging3.streamlineusa.com/wp-content/uploads/2019/12/StreamlineUSA-RET-Kith-04-1.46x2.jpg|http://www.staging3.streamlineusa.com/wp-content/uploads/2019/12/IMG_1071-scaled.jpg|http://www.staging3.streamlineusa.com/wp-content/uploads/2019/12/IMG_1070-scaled.jpg|http://www.staging3.streamlineusa.com/wp-content/uploads/2019/12/IMG_1073-scaled.jpg|http://www.staging3.streamlineusa.com/wp-content/uploads/2019/12/IMG_7210-scaled.jpg|http://www.staging3.streamlineusa.com/wp-content/uploads/2019/12/IMG_1077-scaled.jpg|http://www.staging3.streamlineusa.com/wp-content/uploads/2019/12/IMG_1076-scaled.jpg|http://www.staging3.streamlineusa.com/wp-content/uploads/2019/12/IMG_1074-scaled.jpg|http://www.staging3.streamlineusa.com/wp-content/uploads/2019/12/IMG_1075-scaled.jpg|http://www.staging3.streamlineusa.com/wp-content/uploads/2019/12/IMG_0126-scaled.jpg|http://www.staging3.streamlineusa.com/wp-content/uploads/2019/12/IMG_0127-scaled.jpg|http://www.staging3.streamlineusa.com/wp-content/uploads/2019/12/IMG_0125-scaled.jpg|http://www.staging3.streamlineusa.com/wp-content/uploads/2019/12/IMG_0124-scaled.jpg|http://www.staging3.streamlineusa.com/wp-content/uploads/2019/12/IMG_0108-scaled.jpg|http://www.staging3.streamlineusa.com/wp-content/uploads/2019/12/IMG_0109-scaled.jpg|http://www.staging3.streamlineusa.com/wp-content/uploads/2019/12/IMG_0121-scaled.jpg|http://www.staging3.streamlineusa.com/wp-content/uploads/2019/12/IMG_0123-scaled.jpg|http://www.staging3.streamlineusa.com/wp-content/uploads/2019/12/IMG_0107-scaled.jpg|http://www.staging3.streamlineusa.com/wp-content/uploads/2019/12/IMG_0112-scaled.jpg|http://www.staging3.streamlineusa.com/wp-content/uploads/2019/12/IMG_0110-scaled.jpg|http://www.staging3.streamlineusa.com/wp-content/uploads/2019/12/IMG_0111-scaled.jpg|http://www.staging3.streamlineusa.com/wp-content/uploads/2019/12/IMG_0115-scaled.jpg|http://www.staging3.streamlineusa.com/wp-content/uploads/2019/12/IMG_0116-scaled.jpg|http://www.staging3.streamlineusa.com/wp-content/uploads/2019/12/IMG_0117-scaled.jpg|http://www.staging3.streamlineusa.com/wp-content/uploads/2019/12/IMG_1084-scaled.jpg|http://www.staging3.streamlineusa.com/wp-content/uploads/2019/12/IMG_1085-scaled.jpg|http://www.staging3.streamlineusa.com/wp-content/uploads/2019/12/IMG_1082-scaled.jpg</t>
  </si>
  <si>
    <t>https://www.staging8.streamlineusa.com/commercial/kith/</t>
  </si>
  <si>
    <t>https://www.staging8.streamlineusa.com/wp-content/uploads/2019/12/StreamlineUSA-RET-Kith-03-4.37x3.4.jpg</t>
  </si>
  <si>
    <t>http://www.streamlineusa.com/wp-content/uploads/2020/07/Haus-Featured.jpg</t>
  </si>
  <si>
    <t>haus-nightclub</t>
  </si>
  <si>
    <t>Lexington ave Townhouse</t>
  </si>
  <si>
    <t>http://www.staging3.streamlineusa.com/wp-content/uploads/2020/02/UES-8-e1595540404244.jpg|http://www.staging3.streamlineusa.com/wp-content/uploads/2020/02/UES-Townhouse-2.jpg|http://www.staging3.streamlineusa.com/wp-content/uploads/2020/02/UES-11.jpg|http://www.staging3.streamlineusa.com/wp-content/uploads/2020/02/UES-4.jpg|http://www.staging3.streamlineusa.com/wp-content/uploads/2020/02/UES-6.jpg|http://www.staging3.streamlineusa.com/wp-content/uploads/2020/02/UES-5.jpg|http://www.staging3.streamlineusa.com/wp-content/uploads/2020/02/46883486.jpg|http://www.staging3.streamlineusa.com/wp-content/uploads/2020/02/UES-7.jpg|http://www.staging3.streamlineusa.com/wp-content/uploads/2020/02/UES-9.jpg|http://www.staging3.streamlineusa.com/wp-content/uploads/2020/02/UES-10.jpg|http://www.staging3.streamlineusa.com/wp-content/uploads/2020/02/UES-Townhouse-3.jpg|http://www.staging3.streamlineusa.com/wp-content/uploads/2020/02/UES-12.jpg|http://www.staging3.streamlineusa.com/wp-content/uploads/2020/02/UES-13.jpg</t>
  </si>
  <si>
    <t>https://www.staging8.streamlineusa.com/residential/upper-east-side-townhouse/</t>
  </si>
  <si>
    <t>http://www.streamlineusa.com/wp-content/uploads/2022/02/20210310_425West53rdSt-3669.jpg</t>
  </si>
  <si>
    <t>https://www.staging8.streamlineusa.com/wp-content/uploads/2020/02/UES-8-e1595540404244.jpg</t>
  </si>
  <si>
    <t>53rd-st-studio</t>
  </si>
  <si>
    <t>http://www.staging3.streamlineusa.com/wp-content/uploads/2020/02/IMG_8618-scaled.jpg|http://www.staging3.streamlineusa.com/wp-content/uploads/2020/02/IMG_8626-scaled.jpg|http://www.staging3.streamlineusa.com/wp-content/uploads/2020/02/IMG_8629-scaled.jpg|http://www.staging3.streamlineusa.com/wp-content/uploads/2020/02/IMG_8634-scaled.jpg|http://www.staging3.streamlineusa.com/wp-content/uploads/2020/02/IMG_8635-scaled.jpg|http://www.staging3.streamlineusa.com/wp-content/uploads/2020/02/IMG_8638-scaled.jpg|http://www.staging3.streamlineusa.com/wp-content/uploads/2020/02/IMG_8643-scaled.jpg|http://www.staging3.streamlineusa.com/wp-content/uploads/2020/02/IMG_8644-scaled.jpg|http://www.staging3.streamlineusa.com/wp-content/uploads/2020/02/IMG_8645-scaled.jpg|http://www.staging3.streamlineusa.com/wp-content/uploads/2020/02/IMG_8647-scaled.jpg|http://www.staging3.streamlineusa.com/wp-content/uploads/2020/02/IMG_8648-scaled.jpg</t>
  </si>
  <si>
    <t>https://www.staging8.streamlineusa.com/commercial/mackage-soho/</t>
  </si>
  <si>
    <t>https://www.staging8.streamlineusa.com/wp-content/uploads/2020/02/IMG_8648-scaled.jpg</t>
  </si>
  <si>
    <t>Madison ave duplex</t>
  </si>
  <si>
    <t>http://www.staging3.streamlineusa.com/wp-content/uploads/2019/12/SL-_-Residential-_-215-Madision-_-Residence-3.425x3-1.jpg|http://www.staging3.streamlineusa.com/wp-content/uploads/2019/12/SL-_-Residential-_-215-Madision-_-Residence-8.75x3.65-scaled.jpg|http://www.staging3.streamlineusa.com/wp-content/uploads/2019/12/SL-_-Residential-_-215-Madision-_-Residence-3.125x3-3-1.jpg|http://www.staging3.streamlineusa.com/wp-content/uploads/2019/12/SL-_-Residential-_-215-Madision-_-Residence-3.125x3-1-1.jpg|http://www.staging3.streamlineusa.com/wp-content/uploads/2019/12/SL-_-Residential-_-215-Madision-_-Residence-3.125X3-2-1.jpg|http://www.staging3.streamlineusa.com/wp-content/uploads/2019/12/SL-_-Residential-_-215-Madision-_-Residence-5.475x3-1.jpg</t>
  </si>
  <si>
    <t>https://www.staging8.streamlineusa.com/residential/madison-avenue-penthouse/</t>
  </si>
  <si>
    <t>http://www.streamlineusa.com/wp-content/uploads/2022/02/20210222_HudsonYardsMall-0087-scaled.jpg</t>
  </si>
  <si>
    <t>hudson-yards-mall</t>
  </si>
  <si>
    <t>https://www.staging8.streamlineusa.com/wp-content/uploads/2019/12/SL-_-Residential-_-215-Madision-_-Residence-3.425x3.jpg</t>
  </si>
  <si>
    <t>Current Interiors, Rachel Kane, and Xandro Aventajado</t>
  </si>
  <si>
    <t>http://www.streamlineusa.com/wp-content/uploads/2022/02/20210219_55HudsonYards-5373-scaled.jpg</t>
  </si>
  <si>
    <t>http://www.streamlineusa.com/wp-content/uploads/2022/02/20211202_118WyckoffSt-0964-scaled.jpg</t>
  </si>
  <si>
    <t>http://www.staging3.streamlineusa.com/wp-content/uploads/2019/12/MEX1.jpg|http://www.staging3.streamlineusa.com/wp-content/uploads/2019/12/Mexicue-Featured.jpg|http://www.staging3.streamlineusa.com/wp-content/uploads/2019/12/MEX6.jpg|http://www.staging3.streamlineusa.com/wp-content/uploads/2019/12/MEX5.jpg|http://www.staging3.streamlineusa.com/wp-content/uploads/2019/12/MEX2.jpg|http://www.staging3.streamlineusa.com/wp-content/uploads/2019/12/MEX4.jpg|http://www.staging3.streamlineusa.com/wp-content/uploads/2019/12/DSC_0062-scaled.jpg|http://www.staging3.streamlineusa.com/wp-content/uploads/2019/12/DSC_0049-scaled.jpg|http://www.staging3.streamlineusa.com/wp-content/uploads/2019/12/DSC_0064-scaled.jpg|http://www.staging3.streamlineusa.com/wp-content/uploads/2019/12/DSC_0047-scaled.jpg|http://www.staging3.streamlineusa.com/wp-content/uploads/2019/12/DSC_0054-scaled.jpg|http://www.staging3.streamlineusa.com/wp-content/uploads/2019/12/DSC_0057-scaled.jpg</t>
  </si>
  <si>
    <t>Noho</t>
  </si>
  <si>
    <t>vivvi-daycare-hudson-yards</t>
  </si>
  <si>
    <t>https://www.staging8.streamlineusa.com/commercial/mexicue/</t>
  </si>
  <si>
    <t>wyckoff-townhouse</t>
  </si>
  <si>
    <t>https://www.staging8.streamlineusa.com/wp-content/uploads/2019/12/MEX1.jpg</t>
  </si>
  <si>
    <t>http://www.staging3.streamlineusa.com/wp-content/uploads/2019/12/Creme_Mint-Kitchen_HR-11-1-scaled.jpg|http://www.staging3.streamlineusa.com/wp-content/uploads/2019/12/Mint-Featured-2-scaled.jpg|http://www.staging3.streamlineusa.com/wp-content/uploads/2019/12/Creme_Mint-Kitchen_HR-3-1-scaled.jpg|http://www.staging3.streamlineusa.com/wp-content/uploads/2019/12/Creme_Mint-Kitchen_HR-8-scaled.jpg|http://www.staging3.streamlineusa.com/wp-content/uploads/2019/12/Creme_Mint-Kitchen_HR-6-scaled.jpg|http://www.staging3.streamlineusa.com/wp-content/uploads/2019/12/Creme_Mint-Kitchen_HR-12-1-scaled.jpg|http://www.staging3.streamlineusa.com/wp-content/uploads/2019/12/Creme_Mint-Kitchen_HR-7-scaled.jpg|http://www.staging3.streamlineusa.com/wp-content/uploads/2019/12/Creme_Mint-Kitchen_HR-13-scaled.jpg|http://www.staging3.streamlineusa.com/wp-content/uploads/2019/12/Creme_Mint-Kitchen_HR-2-scaled.jpg|http://www.staging3.streamlineusa.com/wp-content/uploads/2019/12/Creme_Mint-Kitchen_HR-9-scaled.jpg|http://www.staging3.streamlineusa.com/wp-content/uploads/2019/12/Creme_Mint-Kitchen_HR-16-scaled.jpg|http://www.staging3.streamlineusa.com/wp-content/uploads/2019/12/Creme_Mint-Kitchen_HR-11-scaled.jpg|http://www.staging3.streamlineusa.com/wp-content/uploads/2019/12/Creme_Mint-Kitchen_HR-18-1-scaled.jpg|http://www.staging3.streamlineusa.com/wp-content/uploads/2019/12/Creme_Mint-Kitchen_HR-8-1-scaled.jpg|http://www.staging3.streamlineusa.com/wp-content/uploads/2019/12/Creme_Mint-Kitchen_HR-9-2-scaled.jpg|http://www.staging3.streamlineusa.com/wp-content/uploads/2019/12/Creme_Mint-Kitchen_HR-17-1-scaled.jpg|http://www.staging3.streamlineusa.com/wp-content/uploads/2019/12/Creme_Mint-Kitchen_HR-5-1-scaled.jpg|http://www.staging3.streamlineusa.com/wp-content/uploads/2019/12/Creme_Mint-Kitchen_HR-16-1-scaled.jpg|http://www.staging3.streamlineusa.com/wp-content/uploads/2019/12/Creme_Mint-Kitchen_HR-7-1-scaled.jpg|http://www.staging3.streamlineusa.com/wp-content/uploads/2019/12/Creme_Mint-Kitchen_HR-14-1-scaled.jpg|http://www.staging3.streamlineusa.com/wp-content/uploads/2019/12/Creme_Mint-Kitchen_HR-4-1-scaled.jpg|http://www.staging3.streamlineusa.com/wp-content/uploads/2019/12/Creme_Mint-Kitchen_HR-19-scaled.jpg|http://www.staging3.streamlineusa.com/wp-content/uploads/2019/12/Creme_Mint-Kitchen_HR-13-1-scaled.jpg|http://www.staging3.streamlineusa.com/wp-content/uploads/2019/12/Creme_Mint-Kitchen_HR-20-1-scaled.jpg|http://www.staging3.streamlineusa.com/wp-content/uploads/2019/12/Creme_Mint-Kitchen_HR-6-1-scaled.jpg|http://www.staging3.streamlineusa.com/wp-content/uploads/2019/12/Mint-Featured-3-scaled.jpg|http://www.staging3.streamlineusa.com/wp-content/uploads/2019/12/Creme_Mint-Kitchen_HR-15-1-scaled.jpg</t>
  </si>
  <si>
    <t>https://www.staging8.streamlineusa.com/commercial/mint-kitchen-restaurant/</t>
  </si>
  <si>
    <t>https://www.staging8.streamlineusa.com/wp-content/uploads/2019/12/Creme_Mint-Kitchen_HR-11-scaled.jpg</t>
  </si>
  <si>
    <t>http://www.staging3.streamlineusa.com/wp-content/uploads/2019/12/Momofuku-Featured.jpg|http://www.staging3.streamlineusa.com/wp-content/uploads/2019/12/20180215_Momofuku_Ko_0173b_WEB.jpg|http://www.staging3.streamlineusa.com/wp-content/uploads/2019/12/20180215_Momofuku_Ko_0206_WEB.jpg|http://www.staging3.streamlineusa.com/wp-content/uploads/2019/12/20180215_Momofuku_Ko_0173_WEB.jpg|http://www.staging3.streamlineusa.com/wp-content/uploads/2019/12/20180215_Momofuku_Ko_0279_WEB.jpg|http://www.staging3.streamlineusa.com/wp-content/uploads/2019/12/20180215_Momofuku_Ko_0280_WEB.jpg|http://www.staging3.streamlineusa.com/wp-content/uploads/2019/12/20180215_Momofuku_Ko_0459_WEB.jpg|http://www.staging3.streamlineusa.com/wp-content/uploads/2019/12/20180215_Momofuku_Ko_0368_WEB.jpg</t>
  </si>
  <si>
    <t>https://www.staging8.streamlineusa.com/commercial/momofuku-ko/</t>
  </si>
  <si>
    <t>https://www.staging8.streamlineusa.com/wp-content/uploads/2019/12/Momofuku-Featured.jpg</t>
  </si>
  <si>
    <t>http://www.staging3.streamlineusa.com/wp-content/uploads/2020/05/20200422_161West23rdSt-3688-Edit-2.jpg|http://www.staging3.streamlineusa.com/wp-content/uploads/2020/05/20200422_161West23rdSt-3612.jpg|http://www.staging3.streamlineusa.com/wp-content/uploads/2020/05/20200422_161West23rdSt-3617.jpg|http://www.staging3.streamlineusa.com/wp-content/uploads/2020/05/20200422_161West23rdSt-3698.jpg|http://www.staging3.streamlineusa.com/wp-content/uploads/2020/05/20200422_161West23rdSt-3677.jpg|http://www.staging3.streamlineusa.com/wp-content/uploads/2020/05/20200422_161West23rdSt-3592.jpg|http://www.staging3.streamlineusa.com/wp-content/uploads/2020/05/20200422_161West23rdSt-3572.jpg|http://www.staging3.streamlineusa.com/wp-content/uploads/2020/05/20200422_161West23rdSt-3587.jpg|http://www.staging3.streamlineusa.com/wp-content/uploads/2020/05/20200422_161West23rdSt-3662.jpg|http://www.staging3.streamlineusa.com/wp-content/uploads/2020/05/20200422_161West23rdSt-3632.jpg|http://www.staging3.streamlineusa.com/wp-content/uploads/2020/05/Motel-23-Featured.jpg|http://www.staging3.streamlineusa.com/wp-content/uploads/2020/05/20200422_161West23rdSt-3602.jpg|http://www.staging3.streamlineusa.com/wp-content/uploads/2020/05/20200422_161West23rdSt-3667.jpg|http://www.staging3.streamlineusa.com/wp-content/uploads/2020/05/20200422_161West23rdSt-3657.jpg|http://www.staging3.streamlineusa.com/wp-content/uploads/2020/05/20200422_161West23rdSt-3672.jpg|http://www.staging3.streamlineusa.com/wp-content/uploads/2020/05/20200422_161West23rdSt-3652.jpg|http://www.staging3.streamlineusa.com/wp-content/uploads/2020/05/20200422_161West23rdSt-3642.jpg|http://www.staging3.streamlineusa.com/wp-content/uploads/2020/05/20200422_161West23rdSt-3637.jpg</t>
  </si>
  <si>
    <t>https://www.staging8.streamlineusa.com/commercial/motel-23-lounge/</t>
  </si>
  <si>
    <t>https://www.staging8.streamlineusa.com/wp-content/uploads/2020/05/Motel-23-Featured.jpg</t>
  </si>
  <si>
    <t>http://www.staging3.streamlineusa.com/wp-content/uploads/2020/05/20200507_444W17MyDarlingIvy-4826_27_28_29_30.jpg|http://www.staging3.streamlineusa.com/wp-content/uploads/2020/05/20200507_444W17MyDarlingIvy-4836_37_38_39_40.jpg|http://www.staging3.streamlineusa.com/wp-content/uploads/2020/05/20200507_444W17MyDarlingIvy-4841_2_3_4_5.jpg|http://www.staging3.streamlineusa.com/wp-content/uploads/2020/05/20200507_444W17MyDarlingIvy-4846_47_48_49_50.jpg|http://www.staging3.streamlineusa.com/wp-content/uploads/2020/05/20200507_444W17MyDarlingIvy-4851_2_3_4_5.jpg|http://www.staging3.streamlineusa.com/wp-content/uploads/2020/05/20200507_444W17MyDarlingIvy-4856_57_58_59_60.jpg|http://www.staging3.streamlineusa.com/wp-content/uploads/2020/05/20200507_444W17MyDarlingIvy-4861_2_3_4_5.jpg|http://www.staging3.streamlineusa.com/wp-content/uploads/2020/05/20200507_444W17MyDarlingIvy-4866_67_68_69_70.jpg|http://www.staging3.streamlineusa.com/wp-content/uploads/2020/05/20200507_444W17MyDarlingIvy-4871_2_3_4_5.jpg|http://www.staging3.streamlineusa.com/wp-content/uploads/2020/05/20200507_444W17MyDarlingIvy-4876_77_78_79_80.jpg|http://www.staging3.streamlineusa.com/wp-content/uploads/2020/05/20200507_444W17MyDarlingIvy-4881_2_3_4_5.jpg|http://www.staging3.streamlineusa.com/wp-content/uploads/2020/05/20200507_444W17MyDarlingIvy-4886_87_88_89_90.jpg|http://www.staging3.streamlineusa.com/wp-content/uploads/2020/05/20200507_444W17MyDarlingIvy-4891_2_3_4_5.jpg|http://www.staging3.streamlineusa.com/wp-content/uploads/2020/05/20200507_444W17MyDarlingIvy-4901_2_3_4_5.jpg|http://www.staging3.streamlineusa.com/wp-content/uploads/2020/05/20200507_444W17MyDarlingIvy-4906_07_08_09_10.jpg|http://www.staging3.streamlineusa.com/wp-content/uploads/2020/05/20200507_444W17MyDarlingIvy-4911_2_3_4_5.jpg|http://www.staging3.streamlineusa.com/wp-content/uploads/2020/05/20200507_444W17MyDarlingIvy-4921_2_3_4_5.jpg|http://www.staging3.streamlineusa.com/wp-content/uploads/2020/05/20200507_444W17MyDarlingIvy-4926_27_28_29_30.jpg|http://www.staging3.streamlineusa.com/wp-content/uploads/2020/05/20200507_444W17MyDarlingIvy-4931_2_3_4_5.jpg|http://www.staging3.streamlineusa.com/wp-content/uploads/2020/05/20200507_444W17MyDarlingIvy-4941_2_3_4_5.jpg|http://www.staging3.streamlineusa.com/wp-content/uploads/2020/05/20200507_444W17MyDarlingIvy-4946_47_48_49_50.jpg|http://www.staging3.streamlineusa.com/wp-content/uploads/2020/05/20200507_444W17MyDarlingIvy-4956_57_58_59_60.jpg|http://www.staging3.streamlineusa.com/wp-content/uploads/2020/05/20200507_444W17MyDarlingIvy-4961_2_3_4_5.jpg|http://www.staging3.streamlineusa.com/wp-content/uploads/2020/05/20200507_444W17MyDarlingIvy-4966_67_68_69_70.jpg|http://www.staging3.streamlineusa.com/wp-content/uploads/2020/05/20200507_444W17MyDarlingIvy-4971_2_3_4_5.jpg|http://www.staging3.streamlineusa.com/wp-content/uploads/2020/05/20200507_444W17MyDarlingIvy-4976_77_78_79_80.jpg|http://www.staging3.streamlineusa.com/wp-content/uploads/2020/05/20200507_444W17MyDarlingIvy-4981_2_3_4_5.jpg|http://www.staging3.streamlineusa.com/wp-content/uploads/2020/05/20200507_444W17MyDarlingIvy-4986_87_88_89_90.jpg|http://www.staging3.streamlineusa.com/wp-content/uploads/2020/05/20200507_444W17MyDarlingIvy-5001_2_3_4_5.jpg|http://www.staging3.streamlineusa.com/wp-content/uploads/2020/05/20200507_444W17MyDarlingIvy-5006_07_08_09_10.jpg|http://www.staging3.streamlineusa.com/wp-content/uploads/2020/05/20200507_444W17MyDarlingIvy-5016_17_18_19_20.jpg|http://www.staging3.streamlineusa.com/wp-content/uploads/2020/05/My-Darling-Ivy-Featured.jpg</t>
  </si>
  <si>
    <t>https://www.staging8.streamlineusa.com/commercial/my-darling-ivy/</t>
  </si>
  <si>
    <t>https://www.staging8.streamlineusa.com/wp-content/uploads/2020/05/My-Darling-Ivy-Featured.jpg</t>
  </si>
  <si>
    <t>Riverside drive Apartment</t>
  </si>
  <si>
    <t>http://www.staging3.streamlineusa.com/wp-content/uploads/2022/02/420-riverside-102.jpg|http://www.staging3.streamlineusa.com/wp-content/uploads/2022/02/420-riverside-121.jpg|http://www.staging3.streamlineusa.com/wp-content/uploads/2022/02/420-riverside-134.jpg|http://www.staging3.streamlineusa.com/wp-content/uploads/2022/02/420-riverside-150.jpg|http://www.staging3.streamlineusa.com/wp-content/uploads/2022/02/420-riverside-158.jpg|http://www.staging3.streamlineusa.com/wp-content/uploads/2022/02/420-riverside-194.jpg|http://www.staging3.streamlineusa.com/wp-content/uploads/2022/02/420-riverside-249.jpg|http://www.staging3.streamlineusa.com/wp-content/uploads/2022/02/420-riverside-254.jpg|http://www.staging3.streamlineusa.com/wp-content/uploads/2022/02/420-riverside-265.jpg|http://www.staging3.streamlineusa.com/wp-content/uploads/2022/02/420-riverside-36.jpg|http://www.staging3.streamlineusa.com/wp-content/uploads/2022/02/420-riverside-50.jpg|http://www.staging3.streamlineusa.com/wp-content/uploads/2022/02/420-riverside-75.jpg</t>
  </si>
  <si>
    <t>https://www.staging8.streamlineusa.com/residential/riverside-apt/</t>
  </si>
  <si>
    <t>https://www.staging8.streamlineusa.com/wp-content/uploads/2022/02/420-riverside-134.jpg</t>
  </si>
  <si>
    <t>check email from eric to update titles</t>
  </si>
  <si>
    <t>done</t>
  </si>
  <si>
    <t>general rule</t>
  </si>
  <si>
    <t>focus on first 5 of res and commercial</t>
  </si>
  <si>
    <t>look through your notes to make sure everything is done</t>
  </si>
  <si>
    <t>and the latest ones as well</t>
  </si>
  <si>
    <t>look through eric's email for notes besides titles</t>
  </si>
  <si>
    <t>add Duane st pics (bed spread pics)</t>
  </si>
  <si>
    <t>Alexey</t>
  </si>
  <si>
    <t>testimonials</t>
  </si>
  <si>
    <t>Washington Sq Dermatology listed 2x</t>
  </si>
  <si>
    <t>Murray Hill apt listed 2x</t>
  </si>
  <si>
    <t xml:space="preserve">i think something happens with the listing order when content is edited </t>
  </si>
  <si>
    <t>Sugarcane raw bar was spelled wrong (sugar cane is wrong).  Not sure if it's on anotehr booklet.  The booklet you sent is residential only so it's not listed there</t>
  </si>
  <si>
    <t>check spreadsheet for errors grammer etc</t>
  </si>
  <si>
    <t>suggest new featured image if the current one really sucks</t>
  </si>
  <si>
    <t xml:space="preserve">set new orders for slider images </t>
  </si>
  <si>
    <t>as you're doing all of this notate any quirks from working on monitor</t>
  </si>
  <si>
    <t>Check a few pages on mobile just to make sure things look ok there too</t>
  </si>
  <si>
    <t>http://www.staging3.streamlineusa.com/wp-content/uploads/2019/12/Spring-Studio-Featured-1.jpg|http://www.staging3.streamlineusa.com/wp-content/uploads/2019/12/16041_pr_springplace_5-5-1621862-3x3-1.jpg|http://www.staging3.streamlineusa.com/wp-content/uploads/2019/12/Spring-Studio.jpg|http://www.staging3.streamlineusa.com/wp-content/uploads/2019/12/8.75x2.25-spring-1-scaled.jpg|http://www.staging3.streamlineusa.com/wp-content/uploads/2019/12/16041_pr_springplace_5-5-1621784-3x2-1.jpg|http://www.staging3.streamlineusa.com/wp-content/uploads/2019/12/16041_pr_springplace_5-5-1621884-3x2-1.jpg|http://www.staging3.streamlineusa.com/wp-content/uploads/2019/12/16041_pr_springplace_5-5-1621823-3x3-1.jpg|http://www.staging3.streamlineusa.com/wp-content/uploads/2019/12/Streamline-USA-Spring-Studios-29-3x2-2.jpg|http://www.staging3.streamlineusa.com/wp-content/uploads/2019/12/SP2020_3-1.png|http://www.staging3.streamlineusa.com/wp-content/uploads/2019/12/SP2020_2.png|http://www.staging3.streamlineusa.com/wp-content/uploads/2019/12/SP2020_3.png|http://www.staging3.streamlineusa.com/wp-content/uploads/2019/12/SP2020_1.jpeg</t>
  </si>
  <si>
    <t>https://www.staging8.streamlineusa.com/commercial/spring-studios-spring-place/</t>
  </si>
  <si>
    <t>https://www.staging8.streamlineusa.com/wp-content/uploads/2019/12/Spring-Studio-Featured.jpg</t>
  </si>
  <si>
    <t xml:space="preserve">St. Lukes Place townhouse </t>
  </si>
  <si>
    <t>http://www.staging3.streamlineusa.com/wp-content/uploads/2019/12/West-Village-Featured.jpg|http://www.staging3.streamlineusa.com/wp-content/uploads/2019/12/12.jpg|http://www.staging3.streamlineusa.com/wp-content/uploads/2019/12/14.jpg|http://www.staging3.streamlineusa.com/wp-content/uploads/2019/12/17.jpg|http://www.staging3.streamlineusa.com/wp-content/uploads/2019/12/1.jpg|http://www.staging3.streamlineusa.com/wp-content/uploads/2019/12/3.jpg|http://www.staging3.streamlineusa.com/wp-content/uploads/2019/12/8.jpg|http://www.staging3.streamlineusa.com/wp-content/uploads/2019/12/9.jpg|http://www.staging3.streamlineusa.com/wp-content/uploads/2019/12/10.jpg|http://www.staging3.streamlineusa.com/wp-content/uploads/2019/12/11.jpg|http://www.staging3.streamlineusa.com/wp-content/uploads/2019/12/13.jpg|http://www.staging3.streamlineusa.com/wp-content/uploads/2019/12/15.jpg|http://www.staging3.streamlineusa.com/wp-content/uploads/2019/12/16.jpg|http://www.staging3.streamlineusa.com/wp-content/uploads/2019/12/2.jpg|http://www.staging3.streamlineusa.com/wp-content/uploads/2019/12/4.jpg|http://www.staging3.streamlineusa.com/wp-content/uploads/2019/12/7.jpg|http://www.staging3.streamlineusa.com/wp-content/uploads/2020/07/West-Village-Townhouse-Lrg-scaled.jpg</t>
  </si>
  <si>
    <t>https://www.staging8.streamlineusa.com/residential/west-village-townhouse/</t>
  </si>
  <si>
    <t>https://www.staging8.streamlineusa.com/wp-content/uploads/2019/12/1-1.jpg</t>
  </si>
  <si>
    <t>http://www.staging3.streamlineusa.com/wp-content/uploads/2019/12/Sugarcane-Featured.jpg|http://www.staging3.streamlineusa.com/wp-content/uploads/2019/12/SUGARCANE1.jpg|http://www.staging3.streamlineusa.com/wp-content/uploads/2019/12/SUGARCANE2.jpg|http://www.staging3.streamlineusa.com/wp-content/uploads/2019/12/SUGARCANE3.jpg|http://www.staging3.streamlineusa.com/wp-content/uploads/2019/12/SUGARCANE9.jpg|http://www.staging3.streamlineusa.com/wp-content/uploads/2019/12/SUGARCANE6.jpg|http://www.staging3.streamlineusa.com/wp-content/uploads/2019/12/SUGARCANE4.jpg|http://www.staging3.streamlineusa.com/wp-content/uploads/2019/12/SUGARCANE7.jpg|http://www.staging3.streamlineusa.com/wp-content/uploads/2019/12/SUGARCANE8.jpg</t>
  </si>
  <si>
    <t>Dumbo</t>
  </si>
  <si>
    <t>https://www.staging8.streamlineusa.com/commercial/sugar-cane-raw-bar-and-grill/</t>
  </si>
  <si>
    <t>https://www.staging8.streamlineusa.com/wp-content/uploads/2019/12/Sugarcane-Featured.jpg</t>
  </si>
  <si>
    <t>http://www.staging3.streamlineusa.com/wp-content/uploads/2020/02/DSC_0872-scaled.jpeg|http://www.staging3.streamlineusa.com/wp-content/uploads/2020/02/DSC_0862-scaled.jpeg|http://www.staging3.streamlineusa.com/wp-content/uploads/2020/02/DSC_0867-scaled.jpeg|http://www.staging3.streamlineusa.com/wp-content/uploads/2020/02/DSC_0850-scaled.jpeg|http://www.staging3.streamlineusa.com/wp-content/uploads/2020/02/DSC_0863-scaled.jpg|http://www.staging3.streamlineusa.com/wp-content/uploads/2020/02/DSC_0839-scaled.jpeg|http://www.staging3.streamlineusa.com/wp-content/uploads/2020/02/DSC_0844-scaled.jpg|http://www.staging3.streamlineusa.com/wp-content/uploads/2020/02/DSC_0853-scaled.jpeg|http://www.staging3.streamlineusa.com/wp-content/uploads/2020/02/DSC_0855-scaled.jpeg|http://www.staging3.streamlineusa.com/wp-content/uploads/2020/02/DSC_0847-scaled.jpg|http://www.staging3.streamlineusa.com/wp-content/uploads/2020/02/DSC_0858-scaled.jpeg|http://www.staging3.streamlineusa.com/wp-content/uploads/2020/02/DSC_0860-scaled.jpeg|http://www.staging3.streamlineusa.com/wp-content/uploads/2020/02/DSC_0857-scaled.jpg|http://www.staging3.streamlineusa.com/wp-content/uploads/2020/02/DSC_0871-scaled.jpg|http://www.staging3.streamlineusa.com/wp-content/uploads/2020/02/DSC_0873-scaled.jpg|http://www.staging3.streamlineusa.com/wp-content/uploads/2020/02/DSC_0870-scaled.jpg</t>
  </si>
  <si>
    <t>https://www.staging8.streamlineusa.com/residential/sullivan-st-duplex/</t>
  </si>
  <si>
    <t>https://www.staging8.streamlineusa.com/wp-content/uploads/2020/02/DSC_0872-scaled.jpeg</t>
  </si>
  <si>
    <t>http://www.staging3.streamlineusa.com/wp-content/uploads/2019/12/THOMPSON_STUDIO-Featured-scaled.jpg|http://www.staging3.streamlineusa.com/wp-content/uploads/2019/12/THOMPSON_STUDIO3-scaled.jpg|http://www.staging3.streamlineusa.com/wp-content/uploads/2019/12/THOMPSON_STUDIO1-scaled.jpg|http://www.staging3.streamlineusa.com/wp-content/uploads/2019/12/THOMPSON_STUDIO4-scaled.jpg|http://www.staging3.streamlineusa.com/wp-content/uploads/2019/12/THOMPSON_STUDIO5-scaled.jpg</t>
  </si>
  <si>
    <t>https://www.staging8.streamlineusa.com/residential/thompson-st-studio/</t>
  </si>
  <si>
    <t>https://www.staging8.streamlineusa.com/wp-content/uploads/2019/12/THOMPSON_STUDIO-Featured-scaled.jpg</t>
  </si>
  <si>
    <t>http://www.staging3.streamlineusa.com/wp-content/uploads/2019/12/Tribeca-Loft-Featured-scaled.jpg|http://www.staging3.streamlineusa.com/wp-content/uploads/2019/12/IMG_1243-scaled.jpg|http://www.staging3.streamlineusa.com/wp-content/uploads/2019/12/IMG_1244-scaled.jpg|http://www.staging3.streamlineusa.com/wp-content/uploads/2019/12/IMG_1245-scaled.jpg|http://www.staging3.streamlineusa.com/wp-content/uploads/2019/12/IMG_1246-scaled.jpg|http://www.staging3.streamlineusa.com/wp-content/uploads/2019/12/IMG_1247-scaled.jpg|http://www.staging3.streamlineusa.com/wp-content/uploads/2019/12/IMG_1241-scaled.jpg</t>
  </si>
  <si>
    <t>https://www.staging8.streamlineusa.com/residential/tribeca-loft/</t>
  </si>
  <si>
    <t>https://www.staging8.streamlineusa.com/wp-content/uploads/2019/12/IMG_1243-scaled.jpg</t>
  </si>
  <si>
    <t>http://www.staging3.streamlineusa.com/wp-content/uploads/2020/05/Upper-West-Side-Apt-Featured.jpg|http://www.staging3.streamlineusa.com/wp-content/uploads/2020/05/IMG_7306.jpg|http://www.staging3.streamlineusa.com/wp-content/uploads/2020/05/IMG_7300.jpg|http://www.staging3.streamlineusa.com/wp-content/uploads/2020/05/IMG_7299.jpg|http://www.staging3.streamlineusa.com/wp-content/uploads/2020/05/IMG_7302.jpg|http://www.staging3.streamlineusa.com/wp-content/uploads/2020/05/IMG_7313.jpg|http://www.staging3.streamlineusa.com/wp-content/uploads/2020/05/IMG_7318.jpg|http://www.staging3.streamlineusa.com/wp-content/uploads/2020/05/IMG_7311.jpg</t>
  </si>
  <si>
    <t>https://www.staging8.streamlineusa.com/residential/upper-west-side-apartment/</t>
  </si>
  <si>
    <t>https://www.staging8.streamlineusa.com/wp-content/uploads/2020/05/Upper-West-Side-Apt-Featured.jpg</t>
  </si>
  <si>
    <t>http://www.staging3.streamlineusa.com/wp-content/uploads/2019/12/Versa-3.jpg|http://www.staging3.streamlineusa.com/wp-content/uploads/2019/12/SL-_-Hospitality-_-218-W35-_-RocknReillys-3.125x3-1.jpg|http://www.staging3.streamlineusa.com/wp-content/uploads/2019/12/SL-_-Hospitality-_-218-W35-_-RocknReillys-5.475x3-2.jpg|http://www.staging3.streamlineusa.com/wp-content/uploads/2019/12/SL-_-Hospitality-_-218-W35-_-RocknReillys-3.125x3-2-scaled.jpg|http://www.staging3.streamlineusa.com/wp-content/uploads/2019/12/Versa-1.jpg|http://www.staging3.streamlineusa.com/wp-content/uploads/2019/12/Versa-2.jpg|http://www.staging3.streamlineusa.com/wp-content/uploads/2019/12/Featured-Rock-and-Rileys-scaled.jpg|http://www.staging3.streamlineusa.com/wp-content/uploads/2019/12/Versa-4.jpg|http://www.staging3.streamlineusa.com/wp-content/uploads/2019/12/versa-canopy2.jpg</t>
  </si>
  <si>
    <t>https://www.staging8.streamlineusa.com/commercial/versa-marriott/</t>
  </si>
  <si>
    <t>https://www.staging8.streamlineusa.com/wp-content/uploads/2019/12/Versa-3.jpg</t>
  </si>
  <si>
    <t>Vivvi Daycare</t>
  </si>
  <si>
    <t>http://www.staging3.streamlineusa.com/wp-content/uploads/2019/12/11OF11-VIVVI-F.OUDEMAN11-scaled.jpg|http://www.staging3.streamlineusa.com/wp-content/uploads/2019/12/11OF11-VIVVI-F.OUDEMAN┬⌐-03-scaled.jpg|http://www.staging3.streamlineusa.com/wp-content/uploads/2019/12/Vivvi-Featured-5-scaled.jpg|http://www.staging3.streamlineusa.com/wp-content/uploads/2019/12/Vivvi-2-1-scaled.jpg|http://www.staging3.streamlineusa.com/wp-content/uploads/2019/12/Vivvi-6-scaled.jpg|http://www.staging3.streamlineusa.com/wp-content/uploads/2019/12/11OF11-VIVVI-F.OUDEMAN09-1-scaled.jpg|http://www.staging3.streamlineusa.com/wp-content/uploads/2019/12/Vivvi-7-scaled.jpg|http://www.staging3.streamlineusa.com/wp-content/uploads/2019/12/Vivvi-8-scaled.jpg|http://www.staging3.streamlineusa.com/wp-content/uploads/2019/12/11OF11-VIVVI-F.OUDEMAN10-3-scaled.jpg|http://www.staging3.streamlineusa.com/wp-content/uploads/2019/12/Vivvi-5-scaled.jpg|http://www.staging3.streamlineusa.com/wp-content/uploads/2019/12/Vivvi-2-2-scaled.jpg|http://www.staging3.streamlineusa.com/wp-content/uploads/2019/12/11OF11-VIVVI-F.OUDEMAN12-2-scaled.jpg|http://www.staging3.streamlineusa.com/wp-content/uploads/2019/12/11OF11-VIVVI-F.OUDEMAN┬⌐-13-2-scaled.jpg</t>
  </si>
  <si>
    <t>https://www.staging8.streamlineusa.com/commercial/vivvi-daycare/</t>
  </si>
  <si>
    <t>https://www.staging8.streamlineusa.com/wp-content/uploads/2019/12/11OF11-VIVVI-F.OUDEMAN11-scaled.jpg</t>
  </si>
  <si>
    <t>ViVVI Daycare</t>
  </si>
  <si>
    <t>http://www.staging3.streamlineusa.com/wp-content/uploads/2022/02/20210219_55HudsonYards-5128-scaled.jpg|http://www.staging3.streamlineusa.com/wp-content/uploads/2022/02/20210219_55HudsonYards-5133-scaled.jpg|http://www.staging3.streamlineusa.com/wp-content/uploads/2022/02/20210219_55HudsonYards-5138-scaled.jpg|http://www.staging3.streamlineusa.com/wp-content/uploads/2022/02/20210219_55HudsonYards-5143-scaled.jpg|http://www.staging3.streamlineusa.com/wp-content/uploads/2022/02/20210219_55HudsonYards-5148-scaled.jpg|http://www.staging3.streamlineusa.com/wp-content/uploads/2022/02/20210219_55HudsonYards-5158-scaled.jpg|http://www.staging3.streamlineusa.com/wp-content/uploads/2022/02/20210219_55HudsonYards-5178-scaled.jpg|http://www.staging3.streamlineusa.com/wp-content/uploads/2022/02/20210219_55HudsonYards-5183-scaled.jpg|http://www.staging3.streamlineusa.com/wp-content/uploads/2022/02/20210219_55HudsonYards-5188-scaled.jpg|http://www.staging3.streamlineusa.com/wp-content/uploads/2022/02/20210219_55HudsonYards-5193-scaled.jpg|http://www.staging3.streamlineusa.com/wp-content/uploads/2022/02/20210219_55HudsonYards-5203-scaled.jpg|http://www.staging3.streamlineusa.com/wp-content/uploads/2022/02/20210219_55HudsonYards-5223-scaled.jpg|http://www.staging3.streamlineusa.com/wp-content/uploads/2022/02/20210219_55HudsonYards-5238-scaled.jpg|http://www.staging3.streamlineusa.com/wp-content/uploads/2022/02/20210219_55HudsonYards-5248-scaled.jpg|http://www.staging3.streamlineusa.com/wp-content/uploads/2022/02/20210219_55HudsonYards-5253-scaled.jpg|http://www.staging3.streamlineusa.com/wp-content/uploads/2022/02/20210219_55HudsonYards-5258-scaled.jpg|http://www.staging3.streamlineusa.com/wp-content/uploads/2022/02/20210219_55HudsonYards-5268-scaled.jpg|http://www.staging3.streamlineusa.com/wp-content/uploads/2022/02/20210219_55HudsonYards-5363-scaled.jpg|http://www.staging3.streamlineusa.com/wp-content/uploads/2022/02/20210219_55HudsonYards-5278-scaled.jpg|http://www.staging3.streamlineusa.com/wp-content/uploads/2022/02/20210219_55HudsonYards-5293-scaled.jpg|http://www.staging3.streamlineusa.com/wp-content/uploads/2022/02/20210219_55HudsonYards-5298-scaled.jpg|http://www.staging3.streamlineusa.com/wp-content/uploads/2022/02/20210219_55HudsonYards-5303-scaled.jpg|http://www.staging3.streamlineusa.com/wp-content/uploads/2022/02/20210219_55HudsonYards-5308-scaled.jpg|http://www.staging3.streamlineusa.com/wp-content/uploads/2022/02/20210219_55HudsonYards-5313-scaled.jpg|http://www.staging3.streamlineusa.com/wp-content/uploads/2022/02/20210219_55HudsonYards-5323-scaled.jpg|http://www.staging3.streamlineusa.com/wp-content/uploads/2022/02/20210219_55HudsonYards-5328-scaled.jpg|http://www.staging3.streamlineusa.com/wp-content/uploads/2022/02/20210219_55HudsonYards-5333-scaled.jpg|http://www.staging3.streamlineusa.com/wp-content/uploads/2022/02/20210219_55HudsonYards-5338-scaled.jpg|http://www.staging3.streamlineusa.com/wp-content/uploads/2022/02/20210219_55HudsonYards-5343-scaled.jpg|http://www.staging3.streamlineusa.com/wp-content/uploads/2022/02/20210219_55HudsonYards-5348-scaled.jpg|http://www.staging3.streamlineusa.com/wp-content/uploads/2022/02/20210219_55HudsonYards-5353-scaled.jpg|http://www.staging3.streamlineusa.com/wp-content/uploads/2022/02/20210219_55HudsonYards-5368-scaled.jpg|http://www.staging3.streamlineusa.com/wp-content/uploads/2022/02/20210219_55HudsonYards-5373-scaled.jpg</t>
  </si>
  <si>
    <t>https://www.staging8.streamlineusa.com/commercial/vivvi-daycare-hudson-yards/</t>
  </si>
  <si>
    <t>https://www.staging8.streamlineusa.com/wp-content/uploads/2022/02/20210219_55HudsonYards-5373-scaled.jpg</t>
  </si>
  <si>
    <t>http://www.staging3.streamlineusa.com/wp-content/uploads/2020/05/IMG_1256.png|http://www.staging3.streamlineusa.com/wp-content/uploads/2020/05/IMG_1257.png|http://www.staging3.streamlineusa.com/wp-content/uploads/2020/05/IMG_2545.png|http://www.staging3.streamlineusa.com/wp-content/uploads/2020/05/IMG_2544.png|http://www.staging3.streamlineusa.com/wp-content/uploads/2020/05/IMG_1267.png|http://www.staging3.streamlineusa.com/wp-content/uploads/2020/05/IMG_2543.png|http://www.staging3.streamlineusa.com/wp-content/uploads/2020/05/IMG_1262.png|http://www.staging3.streamlineusa.com/wp-content/uploads/2020/05/IMG_1265.png|http://www.staging3.streamlineusa.com/wp-content/uploads/2020/05/IMG_1259.png|http://www.staging3.streamlineusa.com/wp-content/uploads/2020/05/IMG_1264.png|http://www.staging3.streamlineusa.com/wp-content/uploads/2020/05/IMG_1263.png|http://www.staging3.streamlineusa.com/wp-content/uploads/2020/05/IMG_1260.png|http://www.staging3.streamlineusa.com/wp-content/uploads/2020/05/IMG_1266.png|http://www.staging3.streamlineusa.com/wp-content/uploads/2020/05/IMG_1261.png|http://www.staging3.streamlineusa.com/wp-content/uploads/2020/05/IMG_1258.png</t>
  </si>
  <si>
    <t>https://www.staging8.streamlineusa.com/residential/wainscott-east-hampton-residence/</t>
  </si>
  <si>
    <t>https://www.staging8.streamlineusa.com/wp-content/uploads/2020/05/IMG_1256.png</t>
  </si>
  <si>
    <t>http://www.staging3.streamlineusa.com/wp-content/uploads/2022/02/20210222_30WarrenSt-0133.jpg|http://www.staging3.streamlineusa.com/wp-content/uploads/2022/02/20210222_30WarrenSt-0138.jpg|http://www.staging3.streamlineusa.com/wp-content/uploads/2022/02/20210222_30WarrenSt-0143.jpg|http://www.staging3.streamlineusa.com/wp-content/uploads/2022/02/20210222_30WarrenSt-0153.jpg|http://www.staging3.streamlineusa.com/wp-content/uploads/2022/02/20210222_30WarrenSt-0158.jpg|http://www.staging3.streamlineusa.com/wp-content/uploads/2022/02/20210222_30WarrenSt-0163-2.jpg|http://www.staging3.streamlineusa.com/wp-content/uploads/2022/02/20210222_30WarrenSt-0163.jpg|http://www.staging3.streamlineusa.com/wp-content/uploads/2022/02/20210222_30WarrenSt-0168-2.jpg|http://www.staging3.streamlineusa.com/wp-content/uploads/2022/02/20210222_30WarrenSt-0168.jpg|http://www.staging3.streamlineusa.com/wp-content/uploads/2022/02/20210222_30WarrenSt-0173-2.jpg|http://www.staging3.streamlineusa.com/wp-content/uploads/2022/02/20210222_30WarrenSt-0173.jpg|http://www.staging3.streamlineusa.com/wp-content/uploads/2022/02/20210222_30WarrenSt-0178-2.jpg|http://www.staging3.streamlineusa.com/wp-content/uploads/2022/02/20210222_30WarrenSt-0178.jpg|http://www.staging3.streamlineusa.com/wp-content/uploads/2022/02/20210222_30WarrenSt-0183-2.jpg|http://www.staging3.streamlineusa.com/wp-content/uploads/2022/02/20210222_30WarrenSt-0183.jpg|http://www.staging3.streamlineusa.com/wp-content/uploads/2022/02/20210222_30WarrenSt-0208-2.jpg|http://www.staging3.streamlineusa.com/wp-content/uploads/2022/02/20210222_30WarrenSt-0208.jpg|http://www.staging3.streamlineusa.com/wp-content/uploads/2022/02/20210222_30WarrenSt-0213.jpg|http://www.staging3.streamlineusa.com/wp-content/uploads/2022/02/20210222_30WarrenSt-0218.jpg|http://www.staging3.streamlineusa.com/wp-content/uploads/2022/02/20210222_30WarrenSt-0228-2.jpg|http://www.staging3.streamlineusa.com/wp-content/uploads/2022/02/20210222_30WarrenSt-0228.jpg|http://www.staging3.streamlineusa.com/wp-content/uploads/2022/02/20210222_30WarrenSt-0238-2.jpg|http://www.staging3.streamlineusa.com/wp-content/uploads/2022/02/20210222_30WarrenSt-0238.jpg|http://www.staging3.streamlineusa.com/wp-content/uploads/2022/02/20210222_30WarrenSt-0248.jpg|http://www.staging3.streamlineusa.com/wp-content/uploads/2022/02/20210222_30WarrenSt-0253.jpg|http://www.staging3.streamlineusa.com/wp-content/uploads/2022/02/20210222_30WarrenSt-0258.jpg|http://www.staging3.streamlineusa.com/wp-content/uploads/2022/02/20210222_30WarrenSt-0263.jpg|http://www.staging3.streamlineusa.com/wp-content/uploads/2022/02/20210222_30WarrenSt-0273.jpg</t>
  </si>
  <si>
    <t>https://www.staging8.streamlineusa.com/residential/warren-st-apt/</t>
  </si>
  <si>
    <t>https://www.staging8.streamlineusa.com/wp-content/uploads/2022/02/20210222_30WarrenSt-0178.jpg</t>
  </si>
  <si>
    <t>http://www.staging3.streamlineusa.com/wp-content/uploads/2019/12/wash.jpg|http://www.staging3.streamlineusa.com/wp-content/uploads/2019/12/Washington-Sq-Derm-Featured.jpg|http://www.staging3.streamlineusa.com/wp-content/uploads/2019/12/Streamline-USA-Washington-Square-Dermatology-2.08x2.63.jpg|http://www.staging3.streamlineusa.com/wp-content/uploads/2019/12/Streamline-USA-Washington-Square-Dermatology-3.69x4.36.jpg|http://www.staging3.streamlineusa.com/wp-content/uploads/2019/12/Streamline-USA-Washington-Square-Dermatology-1.71x4.37.jpg</t>
  </si>
  <si>
    <t>https://www.staging8.streamlineusa.com/commercial/washington-sq-dermatology/</t>
  </si>
  <si>
    <t>https://www.staging8.streamlineusa.com/wp-content/uploads/2019/12/wash.jpg</t>
  </si>
  <si>
    <t>http://www.staging3.streamlineusa.com/wp-content/uploads/2019/12/tersigni-palachek-residential-manhattan-townhouse-04.png|http://www.staging3.streamlineusa.com/wp-content/uploads/2019/12/tersigni-palachek-residential-manhattan-townhouse-05.png|http://www.staging3.streamlineusa.com/wp-content/uploads/2019/12/tersigni-palachek-residential-manhattan-townhouse-03.png|http://www.staging3.streamlineusa.com/wp-content/uploads/2019/12/tersigni-palachek-residential-manhattan-townhouse-02.png|http://www.staging3.streamlineusa.com/wp-content/uploads/2019/12/tersigni-palachek-residential-manhattan-townhouse-01.png|http://www.staging3.streamlineusa.com/wp-content/uploads/2019/12/tersigni-palachek-residential-manhattan-townhouse-01a.png|http://www.staging3.streamlineusa.com/wp-content/uploads/2019/12/tersigni-palachek-residential-manhattan-townhouse-06.png|http://www.staging3.streamlineusa.com/wp-content/uploads/2019/12/tersigni-palachek-residential-manhattan-townhouse-07.png|http://www.staging3.streamlineusa.com/wp-content/uploads/2019/12/tersigni-palachek-residential-manhattan-townhouse-08.png</t>
  </si>
  <si>
    <t>https://www.staging8.streamlineusa.com/residential/west-23rd-townhouse/</t>
  </si>
  <si>
    <t>https://www.staging8.streamlineusa.com/wp-content/uploads/2019/12/W23-Featured.jpg.png</t>
  </si>
  <si>
    <t>http://www.staging3.streamlineusa.com/wp-content/uploads/2022/02/20211202_118WyckoffSt-0964-scaled.jpg|http://www.staging3.streamlineusa.com/wp-content/uploads/2022/02/20211202_118WyckoffSt-0974-scaled.jpg|http://www.staging3.streamlineusa.com/wp-content/uploads/2022/02/20211202_118WyckoffSt-0994-scaled.jpg|http://www.staging3.streamlineusa.com/wp-content/uploads/2022/02/20211202_118WyckoffSt-1009-scaled.jpg|http://www.staging3.streamlineusa.com/wp-content/uploads/2022/02/20211202_118WyckoffSt-1039-scaled.jpg|http://www.staging3.streamlineusa.com/wp-content/uploads/2022/02/20211202_118WyckoffSt-1074-scaled.jpg|http://www.staging3.streamlineusa.com/wp-content/uploads/2022/02/20211202_118WyckoffSt-1099-scaled.jpg|http://www.staging3.streamlineusa.com/wp-content/uploads/2022/02/20211202_118WyckoffSt-1104-scaled.jpg|http://www.staging3.streamlineusa.com/wp-content/uploads/2022/02/20211202_118WyckoffSt-1159-scaled.jpg|http://www.staging3.streamlineusa.com/wp-content/uploads/2022/02/20211202_118WyckoffSt-1174-scaled.jpg|http://www.staging3.streamlineusa.com/wp-content/uploads/2022/02/20211202_118WyckoffSt-1179-scaled.jpg|http://www.staging3.streamlineusa.com/wp-content/uploads/2022/02/20211202_118WyckoffSt-1184-scaled.jpg</t>
  </si>
  <si>
    <t>https://www.staging8.streamlineusa.com/residential/wyckoff-st-townhouse/</t>
  </si>
  <si>
    <t>https://www.staging8.streamlineusa.com/wp-content/uploads/2022/02/20211202_118WyckoffSt-0964-scaled.jpg</t>
  </si>
  <si>
    <t>mexicue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</si>
</sst>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rgb="FF000000"/>
      <name val="Calibri"/>
      <scheme val="minor"/>
    </font>
    <font>
      <color theme="1"/>
      <name val="Calibri"/>
      <scheme val="minor"/>
    </font>
    <font>
      <sz val="12.0"/>
      <color rgb="FF000000"/>
      <name val="Calibri"/>
    </font>
    <font>
      <u/>
      <sz val="12.0"/>
      <color rgb="FF000000"/>
      <name val="Calibri"/>
    </font>
    <font>
      <sz val="11.0"/>
      <color rgb="FF000000"/>
      <name val="Calibri"/>
    </font>
    <font>
      <u/>
      <color rgb="FF0000FF"/>
    </font>
    <font>
      <u/>
      <color rgb="FF0000FF"/>
    </font>
    <font>
      <u/>
      <sz val="12.0"/>
      <color rgb="FF000000"/>
      <name val="Calibri"/>
    </font>
    <font>
      <sz val="17.0"/>
      <color rgb="FF1F1F1F"/>
      <name val="&quot;Google Sans&quot;"/>
    </font>
    <font>
      <u/>
      <color rgb="FF0000FF"/>
    </font>
    <font>
      <sz val="16.0"/>
      <color theme="1"/>
      <name val="Calibri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13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theme="6"/>
        <bgColor theme="6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theme="4"/>
        <bgColor theme="4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3" fontId="2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right" readingOrder="0" shrinkToFit="0" vertical="bottom" wrapText="0"/>
    </xf>
    <xf borderId="0" fillId="4" fontId="1" numFmtId="0" xfId="0" applyAlignment="1" applyFill="1" applyFont="1">
      <alignment horizontal="left"/>
    </xf>
    <xf borderId="0" fillId="0" fontId="2" numFmtId="0" xfId="0" applyAlignment="1" applyFont="1">
      <alignment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5" fontId="4" numFmtId="0" xfId="0" applyAlignment="1" applyFill="1" applyFont="1">
      <alignment horizontal="left"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4" fontId="6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6" fontId="1" numFmtId="0" xfId="0" applyAlignment="1" applyFill="1" applyFont="1">
      <alignment readingOrder="0"/>
    </xf>
    <xf borderId="0" fillId="6" fontId="1" numFmtId="0" xfId="0" applyFont="1"/>
    <xf borderId="0" fillId="0" fontId="1" numFmtId="0" xfId="0" applyFont="1"/>
    <xf borderId="0" fillId="7" fontId="1" numFmtId="0" xfId="0" applyFill="1" applyFont="1"/>
    <xf borderId="0" fillId="7" fontId="1" numFmtId="0" xfId="0" applyAlignment="1" applyFont="1">
      <alignment readingOrder="0"/>
    </xf>
    <xf borderId="0" fillId="7" fontId="1" numFmtId="0" xfId="0" applyFont="1"/>
    <xf borderId="0" fillId="8" fontId="1" numFmtId="0" xfId="0" applyFill="1" applyFont="1"/>
    <xf borderId="0" fillId="8" fontId="1" numFmtId="0" xfId="0" applyAlignment="1" applyFont="1">
      <alignment readingOrder="0"/>
    </xf>
    <xf borderId="0" fillId="5" fontId="8" numFmtId="0" xfId="0" applyAlignment="1" applyFont="1">
      <alignment readingOrder="0"/>
    </xf>
    <xf borderId="0" fillId="8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8" fontId="11" numFmtId="0" xfId="0" applyAlignment="1" applyFont="1">
      <alignment readingOrder="0"/>
    </xf>
    <xf borderId="0" fillId="9" fontId="1" numFmtId="0" xfId="0" applyAlignment="1" applyFill="1" applyFont="1">
      <alignment readingOrder="0"/>
    </xf>
    <xf borderId="0" fillId="10" fontId="1" numFmtId="0" xfId="0" applyAlignment="1" applyFill="1" applyFont="1">
      <alignment readingOrder="0"/>
    </xf>
    <xf borderId="0" fillId="11" fontId="1" numFmtId="0" xfId="0" applyFill="1" applyFont="1"/>
    <xf borderId="0" fillId="12" fontId="1" numFmtId="0" xfId="0" applyAlignment="1" applyFill="1" applyFont="1">
      <alignment readingOrder="0"/>
    </xf>
    <xf borderId="0" fillId="9" fontId="1" numFmtId="0" xfId="0" applyFont="1"/>
    <xf borderId="0" fillId="9" fontId="12" numFmtId="0" xfId="0" applyAlignment="1" applyFont="1">
      <alignment readingOrder="0"/>
    </xf>
    <xf borderId="0" fillId="9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4" fontId="1" numFmtId="0" xfId="0" applyFont="1"/>
    <xf borderId="0" fillId="7" fontId="15" numFmtId="0" xfId="0" applyAlignment="1" applyFont="1">
      <alignment readingOrder="0"/>
    </xf>
    <xf borderId="0" fillId="7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treamlineusa.com/commercial/free-people-retail-store/" TargetMode="External"/><Relationship Id="rId20" Type="http://schemas.openxmlformats.org/officeDocument/2006/relationships/hyperlink" Target="https://www.streamlineusa.com/residential/lexington-ave-townhouse/" TargetMode="External"/><Relationship Id="rId42" Type="http://schemas.openxmlformats.org/officeDocument/2006/relationships/hyperlink" Target="https://www.streamlineusa.com/commercial/motel-23-lounge/" TargetMode="External"/><Relationship Id="rId41" Type="http://schemas.openxmlformats.org/officeDocument/2006/relationships/hyperlink" Target="https://www.streamlineusa.com/residential/1st-ave-apt/" TargetMode="External"/><Relationship Id="rId22" Type="http://schemas.openxmlformats.org/officeDocument/2006/relationships/hyperlink" Target="https://www.streamlineusa.com/commercial/gunter-seeger/" TargetMode="External"/><Relationship Id="rId44" Type="http://schemas.openxmlformats.org/officeDocument/2006/relationships/hyperlink" Target="https://www.streamlineusa.com/commercial/ground-central-coffee-company/" TargetMode="External"/><Relationship Id="rId21" Type="http://schemas.openxmlformats.org/officeDocument/2006/relationships/hyperlink" Target="https://www.streamlineusa.com/residential/west-23rd-townhouse-2/" TargetMode="External"/><Relationship Id="rId43" Type="http://schemas.openxmlformats.org/officeDocument/2006/relationships/hyperlink" Target="https://www.streamlineusa.com/residential/wainscott-east-hampton-residence/" TargetMode="External"/><Relationship Id="rId24" Type="http://schemas.openxmlformats.org/officeDocument/2006/relationships/hyperlink" Target="https://www.streamlineusa.com/residential/wyckoff-townhouse/" TargetMode="External"/><Relationship Id="rId46" Type="http://schemas.openxmlformats.org/officeDocument/2006/relationships/hyperlink" Target="https://paper.design/docs/mcp" TargetMode="External"/><Relationship Id="rId23" Type="http://schemas.openxmlformats.org/officeDocument/2006/relationships/hyperlink" Target="https://www.streamlineusa.com/commercial/hudson-yards-mall/" TargetMode="External"/><Relationship Id="rId45" Type="http://schemas.openxmlformats.org/officeDocument/2006/relationships/hyperlink" Target="https://www.streamlineusa.com/commercial/autrium-corporate-office/" TargetMode="External"/><Relationship Id="rId1" Type="http://schemas.openxmlformats.org/officeDocument/2006/relationships/hyperlink" Target="https://www.streamlineusa.com/commercial/boqueria-restaurant/" TargetMode="External"/><Relationship Id="rId2" Type="http://schemas.openxmlformats.org/officeDocument/2006/relationships/hyperlink" Target="https://www.streamlineusa.com/residential/duane-street-penthouse/" TargetMode="External"/><Relationship Id="rId3" Type="http://schemas.openxmlformats.org/officeDocument/2006/relationships/hyperlink" Target="https://www.streamlineusa.com/commercial/sugar-cane-raw-bar-and-grill/" TargetMode="External"/><Relationship Id="rId4" Type="http://schemas.openxmlformats.org/officeDocument/2006/relationships/hyperlink" Target="https://www.streamlineusa.com/residential/e64-st-townhouse/" TargetMode="External"/><Relationship Id="rId9" Type="http://schemas.openxmlformats.org/officeDocument/2006/relationships/hyperlink" Target="https://www.streamlineusa.com/residential/hudson-street-penthouse/" TargetMode="External"/><Relationship Id="rId26" Type="http://schemas.openxmlformats.org/officeDocument/2006/relationships/hyperlink" Target="https://www.streamlineusa.com/residential/madison-ave-duplex-2/" TargetMode="External"/><Relationship Id="rId25" Type="http://schemas.openxmlformats.org/officeDocument/2006/relationships/hyperlink" Target="https://www.streamlineusa.com/commercial/mint-kitchen-restaurant/" TargetMode="External"/><Relationship Id="rId47" Type="http://schemas.openxmlformats.org/officeDocument/2006/relationships/drawing" Target="../drawings/drawing1.xml"/><Relationship Id="rId28" Type="http://schemas.openxmlformats.org/officeDocument/2006/relationships/hyperlink" Target="https://www.streamlineusa.com/residential/tribeca-loft/" TargetMode="External"/><Relationship Id="rId27" Type="http://schemas.openxmlformats.org/officeDocument/2006/relationships/hyperlink" Target="https://www.streamlineusa.com/commercial/vivvi-daycare-tribeca/" TargetMode="External"/><Relationship Id="rId5" Type="http://schemas.openxmlformats.org/officeDocument/2006/relationships/hyperlink" Target="https://www.streamlineusa.com/commercial/grand-ole-opry-city-stage/" TargetMode="External"/><Relationship Id="rId6" Type="http://schemas.openxmlformats.org/officeDocument/2006/relationships/hyperlink" Target="https://www.streamlineusa.com/residential/69th-st-townhouse/" TargetMode="External"/><Relationship Id="rId29" Type="http://schemas.openxmlformats.org/officeDocument/2006/relationships/hyperlink" Target="https://www.streamlineusa.com/residential/e63-st-penthouse/" TargetMode="External"/><Relationship Id="rId7" Type="http://schemas.openxmlformats.org/officeDocument/2006/relationships/hyperlink" Target="https://www.streamlineusa.com/commercial/spring-studios-spring-place/" TargetMode="External"/><Relationship Id="rId8" Type="http://schemas.openxmlformats.org/officeDocument/2006/relationships/hyperlink" Target="https://www.streamlineusa.com/residential/st-lukes-place-townhouse/" TargetMode="External"/><Relationship Id="rId31" Type="http://schemas.openxmlformats.org/officeDocument/2006/relationships/hyperlink" Target="https://www.streamlineusa.com/residential/84th-st-townhouse/" TargetMode="External"/><Relationship Id="rId30" Type="http://schemas.openxmlformats.org/officeDocument/2006/relationships/hyperlink" Target="https://www.streamlineusa.com/commercial/vivvi-daycare-hudson-yards/" TargetMode="External"/><Relationship Id="rId11" Type="http://schemas.openxmlformats.org/officeDocument/2006/relationships/hyperlink" Target="https://www.streamlineusa.com/commercial/kith/" TargetMode="External"/><Relationship Id="rId33" Type="http://schemas.openxmlformats.org/officeDocument/2006/relationships/hyperlink" Target="https://www.streamlineusa.com/residential/sullivan-st-duplex-2/" TargetMode="External"/><Relationship Id="rId10" Type="http://schemas.openxmlformats.org/officeDocument/2006/relationships/hyperlink" Target="https://www.streamlineusa.com/commercial/indeed-corporate-office-suite/" TargetMode="External"/><Relationship Id="rId32" Type="http://schemas.openxmlformats.org/officeDocument/2006/relationships/hyperlink" Target="https://www.streamlineusa.com/commercial/haus-nightclub/" TargetMode="External"/><Relationship Id="rId13" Type="http://schemas.openxmlformats.org/officeDocument/2006/relationships/hyperlink" Target="https://www.streamlineusa.com/commercial/versa-marriott/" TargetMode="External"/><Relationship Id="rId35" Type="http://schemas.openxmlformats.org/officeDocument/2006/relationships/hyperlink" Target="https://www.streamlineusa.com/residential/upper-west-side-apartment/" TargetMode="External"/><Relationship Id="rId12" Type="http://schemas.openxmlformats.org/officeDocument/2006/relationships/hyperlink" Target="https://www.streamlineusa.com/residential/riverside-drive-apartment/" TargetMode="External"/><Relationship Id="rId34" Type="http://schemas.openxmlformats.org/officeDocument/2006/relationships/hyperlink" Target="https://www.streamlineusa.com/commercial/mackage-soho/" TargetMode="External"/><Relationship Id="rId15" Type="http://schemas.openxmlformats.org/officeDocument/2006/relationships/hyperlink" Target="https://www.streamlineusa.com/commercial/kat-theo/" TargetMode="External"/><Relationship Id="rId37" Type="http://schemas.openxmlformats.org/officeDocument/2006/relationships/hyperlink" Target="https://www.streamlineusa.com/residential/53rd-st-studio/" TargetMode="External"/><Relationship Id="rId14" Type="http://schemas.openxmlformats.org/officeDocument/2006/relationships/hyperlink" Target="https://www.streamlineusa.com/residential/warren-st-apt/" TargetMode="External"/><Relationship Id="rId36" Type="http://schemas.openxmlformats.org/officeDocument/2006/relationships/hyperlink" Target="https://www.streamlineusa.com/commercial/my-darling-ivy/" TargetMode="External"/><Relationship Id="rId17" Type="http://schemas.openxmlformats.org/officeDocument/2006/relationships/hyperlink" Target="https://www.streamlineusa.com/commercial/burger-lobster/" TargetMode="External"/><Relationship Id="rId39" Type="http://schemas.openxmlformats.org/officeDocument/2006/relationships/hyperlink" Target="https://www.streamlineusa.com/commercial/upper-east-side-townhouse/" TargetMode="External"/><Relationship Id="rId16" Type="http://schemas.openxmlformats.org/officeDocument/2006/relationships/hyperlink" Target="https://www.streamlineusa.com/residential/12th-st-townhouse-greenwich-village/" TargetMode="External"/><Relationship Id="rId38" Type="http://schemas.openxmlformats.org/officeDocument/2006/relationships/hyperlink" Target="https://www.streamlineusa.com/residential/thompson-st-studio/" TargetMode="External"/><Relationship Id="rId19" Type="http://schemas.openxmlformats.org/officeDocument/2006/relationships/hyperlink" Target="https://www.streamlineusa.com/commercial/momofuku-ko/" TargetMode="External"/><Relationship Id="rId18" Type="http://schemas.openxmlformats.org/officeDocument/2006/relationships/hyperlink" Target="https://www.streamlineusa.com/residential/horatio-st-townhouse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www.streamlineusa.com/wp-content/uploads/2020/02/UES-8-e1595540404244.jpg" TargetMode="External"/><Relationship Id="rId84" Type="http://schemas.openxmlformats.org/officeDocument/2006/relationships/hyperlink" Target="http://www.streamlineusa.com/wp-content/uploads/2020/05/Motel-23-Featured.jpg" TargetMode="External"/><Relationship Id="rId83" Type="http://schemas.openxmlformats.org/officeDocument/2006/relationships/hyperlink" Target="https://www.streamlineusa.com/commercial/motel-23-lounge/" TargetMode="External"/><Relationship Id="rId42" Type="http://schemas.openxmlformats.org/officeDocument/2006/relationships/hyperlink" Target="http://www.streamlineusa.com/wp-content/uploads/2019/12/W23-Featured.jpg.png" TargetMode="External"/><Relationship Id="rId86" Type="http://schemas.openxmlformats.org/officeDocument/2006/relationships/hyperlink" Target="http://www.streamlineusa.com/wp-content/uploads/2020/05/IMG_1256.png" TargetMode="External"/><Relationship Id="rId41" Type="http://schemas.openxmlformats.org/officeDocument/2006/relationships/hyperlink" Target="https://www.streamlineusa.com/residential/west-23rd-townhouse-2/" TargetMode="External"/><Relationship Id="rId85" Type="http://schemas.openxmlformats.org/officeDocument/2006/relationships/hyperlink" Target="https://www.streamlineusa.com/residential/wainscott-east-hampton-residence/" TargetMode="External"/><Relationship Id="rId44" Type="http://schemas.openxmlformats.org/officeDocument/2006/relationships/hyperlink" Target="http://www.streamlineusa.com/wp-content/uploads/2019/12/Gunter-3.jpg" TargetMode="External"/><Relationship Id="rId88" Type="http://schemas.openxmlformats.org/officeDocument/2006/relationships/hyperlink" Target="http://www.streamlineusa.com/wp-content/uploads/2020/05/Ground-Central-Featured.jpg" TargetMode="External"/><Relationship Id="rId43" Type="http://schemas.openxmlformats.org/officeDocument/2006/relationships/hyperlink" Target="https://www.streamlineusa.com/commercial/gunter-seeger/" TargetMode="External"/><Relationship Id="rId87" Type="http://schemas.openxmlformats.org/officeDocument/2006/relationships/hyperlink" Target="https://www.streamlineusa.com/commercial/ground-central-coffee-company/" TargetMode="External"/><Relationship Id="rId46" Type="http://schemas.openxmlformats.org/officeDocument/2006/relationships/hyperlink" Target="http://www.streamlineusa.com/wp-content/uploads/2022/02/20210222_HudsonYardsMall-0087-scaled.jpg" TargetMode="External"/><Relationship Id="rId45" Type="http://schemas.openxmlformats.org/officeDocument/2006/relationships/hyperlink" Target="https://www.streamlineusa.com/commercial/hudson-yards-mall/" TargetMode="External"/><Relationship Id="rId89" Type="http://schemas.openxmlformats.org/officeDocument/2006/relationships/hyperlink" Target="https://www.streamlineusa.com/commercial/autrium-corporate-office/" TargetMode="External"/><Relationship Id="rId80" Type="http://schemas.openxmlformats.org/officeDocument/2006/relationships/hyperlink" Target="http://www.streamlineusa.com/wp-content/uploads/2019/12/Free-People-Updated-Featured.jpg" TargetMode="External"/><Relationship Id="rId82" Type="http://schemas.openxmlformats.org/officeDocument/2006/relationships/hyperlink" Target="http://www.streamlineusa.com/wp-content/uploads/2019/12/Murray-Hill-Featured.jpg" TargetMode="External"/><Relationship Id="rId81" Type="http://schemas.openxmlformats.org/officeDocument/2006/relationships/hyperlink" Target="https://www.streamlineusa.com/residential/1st-ave-apt/" TargetMode="External"/><Relationship Id="rId1" Type="http://schemas.openxmlformats.org/officeDocument/2006/relationships/hyperlink" Target="https://www.streamlineusa.com/commercial/boqueria-restaurant/" TargetMode="External"/><Relationship Id="rId2" Type="http://schemas.openxmlformats.org/officeDocument/2006/relationships/hyperlink" Target="http://www.streamlineusa.com/wp-content/uploads/2019/12/Featured-1-scaled.jpg" TargetMode="External"/><Relationship Id="rId3" Type="http://schemas.openxmlformats.org/officeDocument/2006/relationships/hyperlink" Target="https://www.streamlineusa.com/residential/duane-street-penthouse/" TargetMode="External"/><Relationship Id="rId4" Type="http://schemas.openxmlformats.org/officeDocument/2006/relationships/hyperlink" Target="http://www.streamlineusa.com/wp-content/uploads/2019/12/20210310_129DuaneSt-3975-2-scaled.jpg" TargetMode="External"/><Relationship Id="rId9" Type="http://schemas.openxmlformats.org/officeDocument/2006/relationships/hyperlink" Target="https://www.streamlineusa.com/commercial/grand-ole-opry-city-stage/" TargetMode="External"/><Relationship Id="rId48" Type="http://schemas.openxmlformats.org/officeDocument/2006/relationships/hyperlink" Target="http://www.streamlineusa.com/wp-content/uploads/2022/02/20211202_118WyckoffSt-0964-scaled.jpg" TargetMode="External"/><Relationship Id="rId47" Type="http://schemas.openxmlformats.org/officeDocument/2006/relationships/hyperlink" Target="https://www.streamlineusa.com/residential/wyckoff-townhouse/" TargetMode="External"/><Relationship Id="rId49" Type="http://schemas.openxmlformats.org/officeDocument/2006/relationships/hyperlink" Target="https://www.streamlineusa.com/commercial/mint-kitchen-restaurant/" TargetMode="External"/><Relationship Id="rId5" Type="http://schemas.openxmlformats.org/officeDocument/2006/relationships/hyperlink" Target="https://www.streamlineusa.com/commercial/sugar-cane-raw-bar-and-grill/" TargetMode="External"/><Relationship Id="rId6" Type="http://schemas.openxmlformats.org/officeDocument/2006/relationships/hyperlink" Target="http://www.streamlineusa.com/wp-content/uploads/2019/12/Sugarcane-Featured.jpg" TargetMode="External"/><Relationship Id="rId7" Type="http://schemas.openxmlformats.org/officeDocument/2006/relationships/hyperlink" Target="https://www.streamlineusa.com/residential/e64-st-townhouse/" TargetMode="External"/><Relationship Id="rId8" Type="http://schemas.openxmlformats.org/officeDocument/2006/relationships/hyperlink" Target="http://www.streamlineusa.com/wp-content/uploads/2020/05/20200416_118East64th-3022.jpg" TargetMode="External"/><Relationship Id="rId73" Type="http://schemas.openxmlformats.org/officeDocument/2006/relationships/hyperlink" Target="https://www.streamlineusa.com/residential/53rd-st-studio/" TargetMode="External"/><Relationship Id="rId72" Type="http://schemas.openxmlformats.org/officeDocument/2006/relationships/hyperlink" Target="http://www.streamlineusa.com/wp-content/uploads/2020/05/My-Darling-Ivy-Featured.jpg" TargetMode="External"/><Relationship Id="rId31" Type="http://schemas.openxmlformats.org/officeDocument/2006/relationships/hyperlink" Target="https://www.streamlineusa.com/residential/12th-st-townhouse-greenwich-village/" TargetMode="External"/><Relationship Id="rId75" Type="http://schemas.openxmlformats.org/officeDocument/2006/relationships/hyperlink" Target="https://www.streamlineusa.com/residential/thompson-st-studio/" TargetMode="External"/><Relationship Id="rId30" Type="http://schemas.openxmlformats.org/officeDocument/2006/relationships/hyperlink" Target="http://www.streamlineusa.com/wp-content/uploads/2019/12/Screen-Shot-2016-03-02-at-1.48.15-PM.jpg" TargetMode="External"/><Relationship Id="rId74" Type="http://schemas.openxmlformats.org/officeDocument/2006/relationships/hyperlink" Target="http://www.streamlineusa.com/wp-content/uploads/2022/02/20210310_425West53rdSt-3669.jpg" TargetMode="External"/><Relationship Id="rId33" Type="http://schemas.openxmlformats.org/officeDocument/2006/relationships/hyperlink" Target="https://www.streamlineusa.com/commercial/burger-lobster/" TargetMode="External"/><Relationship Id="rId77" Type="http://schemas.openxmlformats.org/officeDocument/2006/relationships/hyperlink" Target="https://www.streamlineusa.com/commercial/upper-east-side-townhouse/" TargetMode="External"/><Relationship Id="rId32" Type="http://schemas.openxmlformats.org/officeDocument/2006/relationships/hyperlink" Target="http://www.streamlineusa.com/wp-content/uploads/2020/07/5th-Ave-Featured-copy.jpg" TargetMode="External"/><Relationship Id="rId76" Type="http://schemas.openxmlformats.org/officeDocument/2006/relationships/hyperlink" Target="http://www.streamlineusa.com/wp-content/uploads/2019/12/THOMPSON_STUDIO-Featured-scaled.jpg" TargetMode="External"/><Relationship Id="rId35" Type="http://schemas.openxmlformats.org/officeDocument/2006/relationships/hyperlink" Target="https://www.streamlineusa.com/residential/horatio-st-townhouse/" TargetMode="External"/><Relationship Id="rId79" Type="http://schemas.openxmlformats.org/officeDocument/2006/relationships/hyperlink" Target="https://www.streamlineusa.com/commercial/free-people-retail-store/" TargetMode="External"/><Relationship Id="rId34" Type="http://schemas.openxmlformats.org/officeDocument/2006/relationships/hyperlink" Target="http://www.streamlineusa.com/wp-content/uploads/2019/12/BURGERLOBSTER3.jpg" TargetMode="External"/><Relationship Id="rId78" Type="http://schemas.openxmlformats.org/officeDocument/2006/relationships/hyperlink" Target="http://www.streamlineusa.com/wp-content/uploads/2019/12/wash.jpg" TargetMode="External"/><Relationship Id="rId71" Type="http://schemas.openxmlformats.org/officeDocument/2006/relationships/hyperlink" Target="https://www.streamlineusa.com/commercial/my-darling-ivy/" TargetMode="External"/><Relationship Id="rId70" Type="http://schemas.openxmlformats.org/officeDocument/2006/relationships/hyperlink" Target="http://www.streamlineusa.com/wp-content/uploads/2020/05/Upper-West-Side-Apt-Featured.jpg" TargetMode="External"/><Relationship Id="rId37" Type="http://schemas.openxmlformats.org/officeDocument/2006/relationships/hyperlink" Target="https://www.streamlineusa.com/commercial/momofuku-ko/" TargetMode="External"/><Relationship Id="rId36" Type="http://schemas.openxmlformats.org/officeDocument/2006/relationships/hyperlink" Target="http://www.streamlineusa.com/wp-content/uploads/2019/12/tersigni-palachek-residential-west-village-02.png" TargetMode="External"/><Relationship Id="rId39" Type="http://schemas.openxmlformats.org/officeDocument/2006/relationships/hyperlink" Target="https://www.streamlineusa.com/residential/lexington-ave-townhouse/" TargetMode="External"/><Relationship Id="rId38" Type="http://schemas.openxmlformats.org/officeDocument/2006/relationships/hyperlink" Target="http://www.streamlineusa.com/wp-content/uploads/2019/12/Momofuku-Featured.jpg" TargetMode="External"/><Relationship Id="rId62" Type="http://schemas.openxmlformats.org/officeDocument/2006/relationships/hyperlink" Target="http://www.streamlineusa.com/wp-content/uploads/2020/05/Jackson-Heights-Featured.png" TargetMode="External"/><Relationship Id="rId61" Type="http://schemas.openxmlformats.org/officeDocument/2006/relationships/hyperlink" Target="https://www.streamlineusa.com/residential/84th-st-townhouse/" TargetMode="External"/><Relationship Id="rId20" Type="http://schemas.openxmlformats.org/officeDocument/2006/relationships/hyperlink" Target="http://www.streamlineusa.com/wp-content/uploads/2019/12/Indeed-Updated-Featured.jpg" TargetMode="External"/><Relationship Id="rId64" Type="http://schemas.openxmlformats.org/officeDocument/2006/relationships/hyperlink" Target="http://www.streamlineusa.com/wp-content/uploads/2020/07/Haus-Featured.jpg" TargetMode="External"/><Relationship Id="rId63" Type="http://schemas.openxmlformats.org/officeDocument/2006/relationships/hyperlink" Target="https://www.streamlineusa.com/commercial/haus-nightclub/" TargetMode="External"/><Relationship Id="rId22" Type="http://schemas.openxmlformats.org/officeDocument/2006/relationships/hyperlink" Target="http://www.streamlineusa.com/wp-content/uploads/2019/12/StreamlineUSA-RET-Kith-03-4.37x3.4.jpg" TargetMode="External"/><Relationship Id="rId66" Type="http://schemas.openxmlformats.org/officeDocument/2006/relationships/hyperlink" Target="http://www.streamlineusa.com/wp-content/uploads/2020/02/DSC_0847-scaled.jpg" TargetMode="External"/><Relationship Id="rId21" Type="http://schemas.openxmlformats.org/officeDocument/2006/relationships/hyperlink" Target="https://www.streamlineusa.com/commercial/kith/" TargetMode="External"/><Relationship Id="rId65" Type="http://schemas.openxmlformats.org/officeDocument/2006/relationships/hyperlink" Target="https://www.streamlineusa.com/residential/sullivan-st-duplex-2/" TargetMode="External"/><Relationship Id="rId24" Type="http://schemas.openxmlformats.org/officeDocument/2006/relationships/hyperlink" Target="http://www.streamlineusa.com/wp-content/uploads/2022/02/420-riverside-134.jpg" TargetMode="External"/><Relationship Id="rId68" Type="http://schemas.openxmlformats.org/officeDocument/2006/relationships/hyperlink" Target="http://www.streamlineusa.com/wp-content/uploads/2020/02/IMG_8648-scaled.jpg" TargetMode="External"/><Relationship Id="rId23" Type="http://schemas.openxmlformats.org/officeDocument/2006/relationships/hyperlink" Target="https://www.streamlineusa.com/residential/riverside-drive-apartment/" TargetMode="External"/><Relationship Id="rId67" Type="http://schemas.openxmlformats.org/officeDocument/2006/relationships/hyperlink" Target="https://www.streamlineusa.com/commercial/mackage-soho/" TargetMode="External"/><Relationship Id="rId60" Type="http://schemas.openxmlformats.org/officeDocument/2006/relationships/hyperlink" Target="http://www.streamlineusa.com/wp-content/uploads/2022/02/20210219_55HudsonYards-5373-scaled.jpg" TargetMode="External"/><Relationship Id="rId26" Type="http://schemas.openxmlformats.org/officeDocument/2006/relationships/hyperlink" Target="http://www.streamlineusa.com/wp-content/uploads/2019/12/Versa-3.jpg" TargetMode="External"/><Relationship Id="rId25" Type="http://schemas.openxmlformats.org/officeDocument/2006/relationships/hyperlink" Target="https://www.streamlineusa.com/commercial/versa-marriott/" TargetMode="External"/><Relationship Id="rId69" Type="http://schemas.openxmlformats.org/officeDocument/2006/relationships/hyperlink" Target="https://www.streamlineusa.com/residential/upper-west-side-apartment/" TargetMode="External"/><Relationship Id="rId28" Type="http://schemas.openxmlformats.org/officeDocument/2006/relationships/hyperlink" Target="http://www.streamlineusa.com/wp-content/uploads/2022/02/20210222_30WarrenSt-0178.jpg" TargetMode="External"/><Relationship Id="rId27" Type="http://schemas.openxmlformats.org/officeDocument/2006/relationships/hyperlink" Target="https://www.streamlineusa.com/residential/warren-st-apt/" TargetMode="External"/><Relationship Id="rId29" Type="http://schemas.openxmlformats.org/officeDocument/2006/relationships/hyperlink" Target="https://www.streamlineusa.com/commercial/kat-theo/" TargetMode="External"/><Relationship Id="rId51" Type="http://schemas.openxmlformats.org/officeDocument/2006/relationships/hyperlink" Target="https://www.streamlineusa.com/residential/madison-ave-duplex-2/" TargetMode="External"/><Relationship Id="rId50" Type="http://schemas.openxmlformats.org/officeDocument/2006/relationships/hyperlink" Target="http://www.streamlineusa.com/wp-content/uploads/2019/12/Creme_Mint-Kitchen_HR-11-scaled.jpg" TargetMode="External"/><Relationship Id="rId53" Type="http://schemas.openxmlformats.org/officeDocument/2006/relationships/hyperlink" Target="https://www.streamlineusa.com/commercial/vivvi-daycare-tribeca/" TargetMode="External"/><Relationship Id="rId52" Type="http://schemas.openxmlformats.org/officeDocument/2006/relationships/hyperlink" Target="http://www.streamlineusa.com/wp-content/uploads/2019/12/SL-_-Residential-_-215-Madision-_-Residence-3.425x3.jpg" TargetMode="External"/><Relationship Id="rId11" Type="http://schemas.openxmlformats.org/officeDocument/2006/relationships/hyperlink" Target="https://www.streamlineusa.com/residential/69th-st-townhouse/" TargetMode="External"/><Relationship Id="rId55" Type="http://schemas.openxmlformats.org/officeDocument/2006/relationships/hyperlink" Target="https://www.streamlineusa.com/residential/tribeca-loft/" TargetMode="External"/><Relationship Id="rId10" Type="http://schemas.openxmlformats.org/officeDocument/2006/relationships/hyperlink" Target="http://www.streamlineusa.com/wp-content/uploads/2019/12/OPRY1.jpg" TargetMode="External"/><Relationship Id="rId54" Type="http://schemas.openxmlformats.org/officeDocument/2006/relationships/hyperlink" Target="http://www.streamlineusa.com/wp-content/uploads/2019/12/11OF11-VIVVI-F.OUDEMAN11-scaled.jpg" TargetMode="External"/><Relationship Id="rId13" Type="http://schemas.openxmlformats.org/officeDocument/2006/relationships/hyperlink" Target="https://www.streamlineusa.com/commercial/spring-studios-spring-place/" TargetMode="External"/><Relationship Id="rId57" Type="http://schemas.openxmlformats.org/officeDocument/2006/relationships/hyperlink" Target="https://www.streamlineusa.com/residential/e63-st-penthouse/" TargetMode="External"/><Relationship Id="rId12" Type="http://schemas.openxmlformats.org/officeDocument/2006/relationships/hyperlink" Target="http://www.streamlineusa.com/wp-content/uploads/2019/12/BlackHenselNYC_021-scaled.jpg" TargetMode="External"/><Relationship Id="rId56" Type="http://schemas.openxmlformats.org/officeDocument/2006/relationships/hyperlink" Target="http://www.streamlineusa.com/wp-content/uploads/2019/12/Tribeca-Loft-Featured-scaled.jpg" TargetMode="External"/><Relationship Id="rId91" Type="http://schemas.openxmlformats.org/officeDocument/2006/relationships/hyperlink" Target="https://www.staging8.streamlineusa.com/commercial/mexicue/" TargetMode="External"/><Relationship Id="rId90" Type="http://schemas.openxmlformats.org/officeDocument/2006/relationships/hyperlink" Target="http://www.streamlineusa.com/wp-content/uploads/2019/12/Streamline-USA-Atrium-5.65x4.11.jpg" TargetMode="External"/><Relationship Id="rId93" Type="http://schemas.openxmlformats.org/officeDocument/2006/relationships/drawing" Target="../drawings/drawing2.xml"/><Relationship Id="rId92" Type="http://schemas.openxmlformats.org/officeDocument/2006/relationships/hyperlink" Target="http://www.staging8.streamlineusa.com/wp-content/uploads/2019/12/MEX1.jpg" TargetMode="External"/><Relationship Id="rId15" Type="http://schemas.openxmlformats.org/officeDocument/2006/relationships/hyperlink" Target="https://www.streamlineusa.com/residential/st-lukes-place-townhouse/" TargetMode="External"/><Relationship Id="rId59" Type="http://schemas.openxmlformats.org/officeDocument/2006/relationships/hyperlink" Target="https://www.streamlineusa.com/commercial/vivvi-daycare-hudson-yards/" TargetMode="External"/><Relationship Id="rId14" Type="http://schemas.openxmlformats.org/officeDocument/2006/relationships/hyperlink" Target="http://www.streamlineusa.com/wp-content/uploads/2019/12/SP2020_3.png" TargetMode="External"/><Relationship Id="rId58" Type="http://schemas.openxmlformats.org/officeDocument/2006/relationships/hyperlink" Target="http://www.streamlineusa.com/wp-content/uploads/2019/12/Upper-East-Side-Penthouse-Featured.jpg" TargetMode="External"/><Relationship Id="rId17" Type="http://schemas.openxmlformats.org/officeDocument/2006/relationships/hyperlink" Target="https://www.streamlineusa.com/residential/hudson-street-penthouse/" TargetMode="External"/><Relationship Id="rId16" Type="http://schemas.openxmlformats.org/officeDocument/2006/relationships/hyperlink" Target="http://www.streamlineusa.com/wp-content/uploads/2019/12/1-1.jpg" TargetMode="External"/><Relationship Id="rId19" Type="http://schemas.openxmlformats.org/officeDocument/2006/relationships/hyperlink" Target="https://www.streamlineusa.com/commercial/indeed-corporate-office-suite/" TargetMode="External"/><Relationship Id="rId18" Type="http://schemas.openxmlformats.org/officeDocument/2006/relationships/hyperlink" Target="http://www.streamlineusa.com/wp-content/uploads/2019/12/Hudson-Featured-1.jpg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www.streamlineusa.com/wp-content/uploads/2019/12/Gunter-3.jpg" TargetMode="External"/><Relationship Id="rId84" Type="http://schemas.openxmlformats.org/officeDocument/2006/relationships/hyperlink" Target="http://www.streamlineusa.com/wp-content/uploads/2022/02/20210222_30WarrenSt-0178.jpg" TargetMode="External"/><Relationship Id="rId83" Type="http://schemas.openxmlformats.org/officeDocument/2006/relationships/hyperlink" Target="https://www.streamlineusa.com/residential/warren-st-apt/" TargetMode="External"/><Relationship Id="rId42" Type="http://schemas.openxmlformats.org/officeDocument/2006/relationships/hyperlink" Target="http://www.streamlineusa.com/wp-content/uploads/2019/12/20210310_129DuaneSt-3975-2-scaled.jpg" TargetMode="External"/><Relationship Id="rId86" Type="http://schemas.openxmlformats.org/officeDocument/2006/relationships/hyperlink" Target="http://www.streamlineusa.com/wp-content/uploads/2022/02/20210222_HudsonYardsMall-0087-scaled.jpg" TargetMode="External"/><Relationship Id="rId41" Type="http://schemas.openxmlformats.org/officeDocument/2006/relationships/hyperlink" Target="https://www.streamlineusa.com/residential/duane-street-penthouse/" TargetMode="External"/><Relationship Id="rId85" Type="http://schemas.openxmlformats.org/officeDocument/2006/relationships/hyperlink" Target="https://www.streamlineusa.com/commercial/hudson-yards-mall/" TargetMode="External"/><Relationship Id="rId44" Type="http://schemas.openxmlformats.org/officeDocument/2006/relationships/hyperlink" Target="http://www.streamlineusa.com/wp-content/uploads/2019/12/Indeed-Updated-Featured.jpg" TargetMode="External"/><Relationship Id="rId88" Type="http://schemas.openxmlformats.org/officeDocument/2006/relationships/hyperlink" Target="http://www.streamlineusa.com/wp-content/uploads/2022/02/20210219_55HudsonYards-5373-scaled.jpg" TargetMode="External"/><Relationship Id="rId43" Type="http://schemas.openxmlformats.org/officeDocument/2006/relationships/hyperlink" Target="https://www.streamlineusa.com/commercial/indeed-corporate-office-suite/" TargetMode="External"/><Relationship Id="rId87" Type="http://schemas.openxmlformats.org/officeDocument/2006/relationships/hyperlink" Target="https://www.streamlineusa.com/commercial/vivvi-daycare-hudson-yards/" TargetMode="External"/><Relationship Id="rId46" Type="http://schemas.openxmlformats.org/officeDocument/2006/relationships/hyperlink" Target="http://www.streamlineusa.com/wp-content/uploads/2019/12/Streamline-USA-Atrium-5.65x4.11.jpg" TargetMode="External"/><Relationship Id="rId45" Type="http://schemas.openxmlformats.org/officeDocument/2006/relationships/hyperlink" Target="https://www.streamlineusa.com/commercial/autrium-corporate-office/" TargetMode="External"/><Relationship Id="rId89" Type="http://schemas.openxmlformats.org/officeDocument/2006/relationships/hyperlink" Target="https://www.streamlineusa.com/residential/wyckoff-townhouse/" TargetMode="External"/><Relationship Id="rId80" Type="http://schemas.openxmlformats.org/officeDocument/2006/relationships/hyperlink" Target="http://www.streamlineusa.com/wp-content/uploads/2022/02/20210310_425West53rdSt-3669.jpg" TargetMode="External"/><Relationship Id="rId82" Type="http://schemas.openxmlformats.org/officeDocument/2006/relationships/hyperlink" Target="http://www.streamlineusa.com/wp-content/uploads/2022/02/420-riverside-134.jpg" TargetMode="External"/><Relationship Id="rId81" Type="http://schemas.openxmlformats.org/officeDocument/2006/relationships/hyperlink" Target="https://www.streamlineusa.com/residential/riverside-drive-apartment/" TargetMode="External"/><Relationship Id="rId1" Type="http://schemas.openxmlformats.org/officeDocument/2006/relationships/hyperlink" Target="https://www.streamlineusa.com/commercial/grand-ole-opry-city-stage/" TargetMode="External"/><Relationship Id="rId2" Type="http://schemas.openxmlformats.org/officeDocument/2006/relationships/hyperlink" Target="http://www.streamlineusa.com/wp-content/uploads/2019/12/OPRY1.jpg" TargetMode="External"/><Relationship Id="rId3" Type="http://schemas.openxmlformats.org/officeDocument/2006/relationships/hyperlink" Target="https://www.streamlineusa.com/commercial/sugar-cane-raw-bar-and-grill/" TargetMode="External"/><Relationship Id="rId4" Type="http://schemas.openxmlformats.org/officeDocument/2006/relationships/hyperlink" Target="http://www.streamlineusa.com/wp-content/uploads/2019/12/Sugarcane-Featured.jpg" TargetMode="External"/><Relationship Id="rId9" Type="http://schemas.openxmlformats.org/officeDocument/2006/relationships/hyperlink" Target="https://www.streamlineusa.com/commercial/kat-theo/" TargetMode="External"/><Relationship Id="rId48" Type="http://schemas.openxmlformats.org/officeDocument/2006/relationships/hyperlink" Target="http://www.streamlineusa.com/wp-content/uploads/2019/12/StreamlineUSA-RET-Kith-03-4.37x3.4.jpg" TargetMode="External"/><Relationship Id="rId47" Type="http://schemas.openxmlformats.org/officeDocument/2006/relationships/hyperlink" Target="https://www.streamlineusa.com/commercial/kith/" TargetMode="External"/><Relationship Id="rId49" Type="http://schemas.openxmlformats.org/officeDocument/2006/relationships/hyperlink" Target="https://www.streamlineusa.com/commercial/upper-east-side-townhouse/" TargetMode="External"/><Relationship Id="rId5" Type="http://schemas.openxmlformats.org/officeDocument/2006/relationships/hyperlink" Target="https://www.streamlineusa.com/commercial/boqueria-restaurant/" TargetMode="External"/><Relationship Id="rId6" Type="http://schemas.openxmlformats.org/officeDocument/2006/relationships/hyperlink" Target="http://www.streamlineusa.com/wp-content/uploads/2019/12/Featured-1-scaled.jpg" TargetMode="External"/><Relationship Id="rId7" Type="http://schemas.openxmlformats.org/officeDocument/2006/relationships/hyperlink" Target="https://www.streamlineusa.com/commercial/mint-kitchen-restaurant/" TargetMode="External"/><Relationship Id="rId8" Type="http://schemas.openxmlformats.org/officeDocument/2006/relationships/hyperlink" Target="http://www.streamlineusa.com/wp-content/uploads/2019/12/Creme_Mint-Kitchen_HR-11-scaled.jpg" TargetMode="External"/><Relationship Id="rId73" Type="http://schemas.openxmlformats.org/officeDocument/2006/relationships/hyperlink" Target="https://www.streamlineusa.com/commercial/my-darling-ivy/" TargetMode="External"/><Relationship Id="rId72" Type="http://schemas.openxmlformats.org/officeDocument/2006/relationships/hyperlink" Target="http://www.streamlineusa.com/wp-content/uploads/2020/05/Upper-West-Side-Apt-Featured.jpg" TargetMode="External"/><Relationship Id="rId31" Type="http://schemas.openxmlformats.org/officeDocument/2006/relationships/hyperlink" Target="https://www.streamlineusa.com/residential/thompson-st-studio/" TargetMode="External"/><Relationship Id="rId75" Type="http://schemas.openxmlformats.org/officeDocument/2006/relationships/hyperlink" Target="https://www.streamlineusa.com/residential/12th-st-townhouse-greenwich-village/" TargetMode="External"/><Relationship Id="rId30" Type="http://schemas.openxmlformats.org/officeDocument/2006/relationships/hyperlink" Target="http://www.streamlineusa.com/wp-content/uploads/2019/12/1-1.jpg" TargetMode="External"/><Relationship Id="rId74" Type="http://schemas.openxmlformats.org/officeDocument/2006/relationships/hyperlink" Target="http://www.streamlineusa.com/wp-content/uploads/2020/05/My-Darling-Ivy-Featured.jpg" TargetMode="External"/><Relationship Id="rId33" Type="http://schemas.openxmlformats.org/officeDocument/2006/relationships/hyperlink" Target="https://www.streamlineusa.com/residential/west-23rd-townhouse-2/" TargetMode="External"/><Relationship Id="rId77" Type="http://schemas.openxmlformats.org/officeDocument/2006/relationships/hyperlink" Target="https://www.streamlineusa.com/commercial/haus-nightclub/" TargetMode="External"/><Relationship Id="rId32" Type="http://schemas.openxmlformats.org/officeDocument/2006/relationships/hyperlink" Target="http://www.streamlineusa.com/wp-content/uploads/2019/12/THOMPSON_STUDIO-Featured-scaled.jpg" TargetMode="External"/><Relationship Id="rId76" Type="http://schemas.openxmlformats.org/officeDocument/2006/relationships/hyperlink" Target="http://www.streamlineusa.com/wp-content/uploads/2020/07/5th-Ave-Featured-copy.jpg" TargetMode="External"/><Relationship Id="rId35" Type="http://schemas.openxmlformats.org/officeDocument/2006/relationships/hyperlink" Target="https://www.streamlineusa.com/residential/e63-st-penthouse/" TargetMode="External"/><Relationship Id="rId79" Type="http://schemas.openxmlformats.org/officeDocument/2006/relationships/hyperlink" Target="https://www.streamlineusa.com/residential/53rd-st-studio/" TargetMode="External"/><Relationship Id="rId34" Type="http://schemas.openxmlformats.org/officeDocument/2006/relationships/hyperlink" Target="http://www.streamlineusa.com/wp-content/uploads/2019/12/W23-Featured.jpg.png" TargetMode="External"/><Relationship Id="rId78" Type="http://schemas.openxmlformats.org/officeDocument/2006/relationships/hyperlink" Target="http://www.streamlineusa.com/wp-content/uploads/2020/07/Haus-Featured.jpg" TargetMode="External"/><Relationship Id="rId71" Type="http://schemas.openxmlformats.org/officeDocument/2006/relationships/hyperlink" Target="https://www.streamlineusa.com/residential/upper-west-side-apartment/" TargetMode="External"/><Relationship Id="rId70" Type="http://schemas.openxmlformats.org/officeDocument/2006/relationships/hyperlink" Target="http://www.streamlineusa.com/wp-content/uploads/2020/05/Jackson-Heights-Featured.png" TargetMode="External"/><Relationship Id="rId37" Type="http://schemas.openxmlformats.org/officeDocument/2006/relationships/hyperlink" Target="https://www.streamlineusa.com/commercial/versa-marriott/" TargetMode="External"/><Relationship Id="rId36" Type="http://schemas.openxmlformats.org/officeDocument/2006/relationships/hyperlink" Target="http://www.streamlineusa.com/wp-content/uploads/2019/12/Upper-East-Side-Penthouse-Featured.jpg" TargetMode="External"/><Relationship Id="rId39" Type="http://schemas.openxmlformats.org/officeDocument/2006/relationships/hyperlink" Target="https://www.streamlineusa.com/commercial/gunter-seeger/" TargetMode="External"/><Relationship Id="rId38" Type="http://schemas.openxmlformats.org/officeDocument/2006/relationships/hyperlink" Target="http://www.streamlineusa.com/wp-content/uploads/2019/12/Versa-3.jpg" TargetMode="External"/><Relationship Id="rId62" Type="http://schemas.openxmlformats.org/officeDocument/2006/relationships/hyperlink" Target="http://www.streamlineusa.com/wp-content/uploads/2020/05/20200416_118East64th-3022.jpg" TargetMode="External"/><Relationship Id="rId61" Type="http://schemas.openxmlformats.org/officeDocument/2006/relationships/hyperlink" Target="https://www.streamlineusa.com/residential/e64-st-townhouse/" TargetMode="External"/><Relationship Id="rId20" Type="http://schemas.openxmlformats.org/officeDocument/2006/relationships/hyperlink" Target="http://www.streamlineusa.com/wp-content/uploads/2019/12/Momofuku-Featured.jpg" TargetMode="External"/><Relationship Id="rId64" Type="http://schemas.openxmlformats.org/officeDocument/2006/relationships/hyperlink" Target="http://www.streamlineusa.com/wp-content/uploads/2020/05/Motel-23-Featured.jpg" TargetMode="External"/><Relationship Id="rId63" Type="http://schemas.openxmlformats.org/officeDocument/2006/relationships/hyperlink" Target="https://www.streamlineusa.com/commercial/motel-23-lounge/" TargetMode="External"/><Relationship Id="rId22" Type="http://schemas.openxmlformats.org/officeDocument/2006/relationships/hyperlink" Target="http://www.streamlineusa.com/wp-content/uploads/2019/12/Hudson-Featured-1.jpg" TargetMode="External"/><Relationship Id="rId66" Type="http://schemas.openxmlformats.org/officeDocument/2006/relationships/hyperlink" Target="http://www.streamlineusa.com/wp-content/uploads/2020/05/IMG_1256.png" TargetMode="External"/><Relationship Id="rId21" Type="http://schemas.openxmlformats.org/officeDocument/2006/relationships/hyperlink" Target="https://www.streamlineusa.com/residential/hudson-street-penthouse/" TargetMode="External"/><Relationship Id="rId65" Type="http://schemas.openxmlformats.org/officeDocument/2006/relationships/hyperlink" Target="https://www.streamlineusa.com/residential/wainscott-east-hampton-residence/" TargetMode="External"/><Relationship Id="rId24" Type="http://schemas.openxmlformats.org/officeDocument/2006/relationships/hyperlink" Target="http://www.streamlineusa.com/wp-content/uploads/2019/12/Tribeca-Loft-Featured-scaled.jpg" TargetMode="External"/><Relationship Id="rId68" Type="http://schemas.openxmlformats.org/officeDocument/2006/relationships/hyperlink" Target="http://www.streamlineusa.com/wp-content/uploads/2020/05/Ground-Central-Featured.jpg" TargetMode="External"/><Relationship Id="rId23" Type="http://schemas.openxmlformats.org/officeDocument/2006/relationships/hyperlink" Target="https://www.streamlineusa.com/residential/tribeca-loft/" TargetMode="External"/><Relationship Id="rId67" Type="http://schemas.openxmlformats.org/officeDocument/2006/relationships/hyperlink" Target="https://www.streamlineusa.com/commercial/ground-central-coffee-company/" TargetMode="External"/><Relationship Id="rId60" Type="http://schemas.openxmlformats.org/officeDocument/2006/relationships/hyperlink" Target="http://www.streamlineusa.com/wp-content/uploads/2020/02/IMG_8648-scaled.jpg" TargetMode="External"/><Relationship Id="rId26" Type="http://schemas.openxmlformats.org/officeDocument/2006/relationships/hyperlink" Target="http://www.streamlineusa.com/wp-content/uploads/2019/12/SL-_-Residential-_-215-Madision-_-Residence-3.425x3.jpg" TargetMode="External"/><Relationship Id="rId25" Type="http://schemas.openxmlformats.org/officeDocument/2006/relationships/hyperlink" Target="https://www.streamlineusa.com/residential/madison-ave-duplex-2/" TargetMode="External"/><Relationship Id="rId69" Type="http://schemas.openxmlformats.org/officeDocument/2006/relationships/hyperlink" Target="https://www.streamlineusa.com/residential/84th-st-townhouse/" TargetMode="External"/><Relationship Id="rId28" Type="http://schemas.openxmlformats.org/officeDocument/2006/relationships/hyperlink" Target="http://www.streamlineusa.com/wp-content/uploads/2019/12/Murray-Hill-Featured.jpg" TargetMode="External"/><Relationship Id="rId27" Type="http://schemas.openxmlformats.org/officeDocument/2006/relationships/hyperlink" Target="https://www.streamlineusa.com/residential/1st-ave-apt/" TargetMode="External"/><Relationship Id="rId29" Type="http://schemas.openxmlformats.org/officeDocument/2006/relationships/hyperlink" Target="https://www.streamlineusa.com/residential/st-lukes-place-townhouse/" TargetMode="External"/><Relationship Id="rId51" Type="http://schemas.openxmlformats.org/officeDocument/2006/relationships/hyperlink" Target="https://www.streamlineusa.com/residential/horatio-st-townhouse/" TargetMode="External"/><Relationship Id="rId50" Type="http://schemas.openxmlformats.org/officeDocument/2006/relationships/hyperlink" Target="http://www.streamlineusa.com/wp-content/uploads/2019/12/wash.jpg" TargetMode="External"/><Relationship Id="rId53" Type="http://schemas.openxmlformats.org/officeDocument/2006/relationships/hyperlink" Target="https://www.streamlineusa.com/residential/69th-st-townhouse/" TargetMode="External"/><Relationship Id="rId52" Type="http://schemas.openxmlformats.org/officeDocument/2006/relationships/hyperlink" Target="http://www.streamlineusa.com/wp-content/uploads/2019/12/tersigni-palachek-residential-west-village-02.png" TargetMode="External"/><Relationship Id="rId11" Type="http://schemas.openxmlformats.org/officeDocument/2006/relationships/hyperlink" Target="https://www.streamlineusa.com/commercial/vivvi-daycare-tribeca/" TargetMode="External"/><Relationship Id="rId55" Type="http://schemas.openxmlformats.org/officeDocument/2006/relationships/hyperlink" Target="https://www.streamlineusa.com/residential/lexington-ave-townhouse/" TargetMode="External"/><Relationship Id="rId10" Type="http://schemas.openxmlformats.org/officeDocument/2006/relationships/hyperlink" Target="http://www.streamlineusa.com/wp-content/uploads/2019/12/Screen-Shot-2016-03-02-at-1.48.15-PM.jpg" TargetMode="External"/><Relationship Id="rId54" Type="http://schemas.openxmlformats.org/officeDocument/2006/relationships/hyperlink" Target="http://www.streamlineusa.com/wp-content/uploads/2019/12/BlackHenselNYC_021-scaled.jpg" TargetMode="External"/><Relationship Id="rId13" Type="http://schemas.openxmlformats.org/officeDocument/2006/relationships/hyperlink" Target="https://www.streamlineusa.com/commercial/free-people-retail-store/" TargetMode="External"/><Relationship Id="rId57" Type="http://schemas.openxmlformats.org/officeDocument/2006/relationships/hyperlink" Target="https://www.streamlineusa.com/residential/sullivan-st-duplex-2/" TargetMode="External"/><Relationship Id="rId12" Type="http://schemas.openxmlformats.org/officeDocument/2006/relationships/hyperlink" Target="http://www.streamlineusa.com/wp-content/uploads/2019/12/11OF11-VIVVI-F.OUDEMAN11-scaled.jpg" TargetMode="External"/><Relationship Id="rId56" Type="http://schemas.openxmlformats.org/officeDocument/2006/relationships/hyperlink" Target="http://www.streamlineusa.com/wp-content/uploads/2020/02/UES-8-e1595540404244.jpg" TargetMode="External"/><Relationship Id="rId91" Type="http://schemas.openxmlformats.org/officeDocument/2006/relationships/drawing" Target="../drawings/drawing3.xml"/><Relationship Id="rId90" Type="http://schemas.openxmlformats.org/officeDocument/2006/relationships/hyperlink" Target="http://www.streamlineusa.com/wp-content/uploads/2022/02/20211202_118WyckoffSt-0964-scaled.jpg" TargetMode="External"/><Relationship Id="rId15" Type="http://schemas.openxmlformats.org/officeDocument/2006/relationships/hyperlink" Target="https://www.streamlineusa.com/commercial/spring-studios-spring-place/" TargetMode="External"/><Relationship Id="rId59" Type="http://schemas.openxmlformats.org/officeDocument/2006/relationships/hyperlink" Target="https://www.streamlineusa.com/commercial/mackage-soho/" TargetMode="External"/><Relationship Id="rId14" Type="http://schemas.openxmlformats.org/officeDocument/2006/relationships/hyperlink" Target="http://www.streamlineusa.com/wp-content/uploads/2019/12/Free-People-Updated-Featured.jpg" TargetMode="External"/><Relationship Id="rId58" Type="http://schemas.openxmlformats.org/officeDocument/2006/relationships/hyperlink" Target="http://www.streamlineusa.com/wp-content/uploads/2020/02/DSC_0847-scaled.jpg" TargetMode="External"/><Relationship Id="rId17" Type="http://schemas.openxmlformats.org/officeDocument/2006/relationships/hyperlink" Target="https://www.streamlineusa.com/commercial/burger-lobster/" TargetMode="External"/><Relationship Id="rId16" Type="http://schemas.openxmlformats.org/officeDocument/2006/relationships/hyperlink" Target="http://www.streamlineusa.com/wp-content/uploads/2019/12/SP2020_3.png" TargetMode="External"/><Relationship Id="rId19" Type="http://schemas.openxmlformats.org/officeDocument/2006/relationships/hyperlink" Target="https://www.streamlineusa.com/commercial/momofuku-ko/" TargetMode="External"/><Relationship Id="rId18" Type="http://schemas.openxmlformats.org/officeDocument/2006/relationships/hyperlink" Target="http://www.streamlineusa.com/wp-content/uploads/2019/12/BURGERLOBSTER3.jpg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www.staging8.streamlineusa.com/wp-content/uploads/2019/12/Indeed-Updated-Featured.jpg" TargetMode="External"/><Relationship Id="rId84" Type="http://schemas.openxmlformats.org/officeDocument/2006/relationships/hyperlink" Target="http://www.staging8.streamlineusa.com/wp-content/uploads/2020/05/IMG_1256.png" TargetMode="External"/><Relationship Id="rId83" Type="http://schemas.openxmlformats.org/officeDocument/2006/relationships/hyperlink" Target="https://www.staging8.streamlineusa.com/residential/wainscott-east-hampton-residence/" TargetMode="External"/><Relationship Id="rId42" Type="http://schemas.openxmlformats.org/officeDocument/2006/relationships/hyperlink" Target="http://www.staging8.streamlineusa.com/wp-content/uploads/2019/12/Screen-Shot-2016-03-02-at-1.48.15-PM.jpg" TargetMode="External"/><Relationship Id="rId86" Type="http://schemas.openxmlformats.org/officeDocument/2006/relationships/hyperlink" Target="http://www.staging8.streamlineusa.com/wp-content/uploads/2022/02/20210222_30WarrenSt-0178.jpg" TargetMode="External"/><Relationship Id="rId41" Type="http://schemas.openxmlformats.org/officeDocument/2006/relationships/hyperlink" Target="https://www.staging8.streamlineusa.com/commercial/kat-theo/" TargetMode="External"/><Relationship Id="rId85" Type="http://schemas.openxmlformats.org/officeDocument/2006/relationships/hyperlink" Target="https://www.staging8.streamlineusa.com/residential/warren-st-apt/" TargetMode="External"/><Relationship Id="rId44" Type="http://schemas.openxmlformats.org/officeDocument/2006/relationships/hyperlink" Target="http://www.staging8.streamlineusa.com/wp-content/uploads/2019/12/StreamlineUSA-RET-Kith-03-4.37x3.4.jpg" TargetMode="External"/><Relationship Id="rId88" Type="http://schemas.openxmlformats.org/officeDocument/2006/relationships/hyperlink" Target="http://www.staging8.streamlineusa.com/wp-content/uploads/2019/12/wash.jpg" TargetMode="External"/><Relationship Id="rId43" Type="http://schemas.openxmlformats.org/officeDocument/2006/relationships/hyperlink" Target="https://www.staging8.streamlineusa.com/commercial/kith/" TargetMode="External"/><Relationship Id="rId87" Type="http://schemas.openxmlformats.org/officeDocument/2006/relationships/hyperlink" Target="https://www.staging8.streamlineusa.com/commercial/washington-sq-dermatology/" TargetMode="External"/><Relationship Id="rId46" Type="http://schemas.openxmlformats.org/officeDocument/2006/relationships/hyperlink" Target="http://www.staging8.streamlineusa.com/wp-content/uploads/2020/02/UES-8-e1595540404244.jpg" TargetMode="External"/><Relationship Id="rId45" Type="http://schemas.openxmlformats.org/officeDocument/2006/relationships/hyperlink" Target="https://www.staging8.streamlineusa.com/residential/upper-east-side-townhouse/" TargetMode="External"/><Relationship Id="rId89" Type="http://schemas.openxmlformats.org/officeDocument/2006/relationships/hyperlink" Target="https://www.staging8.streamlineusa.com/residential/west-23rd-townhouse/" TargetMode="External"/><Relationship Id="rId80" Type="http://schemas.openxmlformats.org/officeDocument/2006/relationships/hyperlink" Target="http://www.staging8.streamlineusa.com/wp-content/uploads/2019/12/11OF11-VIVVI-F.OUDEMAN11-scaled.jpg" TargetMode="External"/><Relationship Id="rId82" Type="http://schemas.openxmlformats.org/officeDocument/2006/relationships/hyperlink" Target="http://www.staging8.streamlineusa.com/wp-content/uploads/2022/02/20210219_55HudsonYards-5373-scaled.jpg" TargetMode="External"/><Relationship Id="rId81" Type="http://schemas.openxmlformats.org/officeDocument/2006/relationships/hyperlink" Target="https://www.staging8.streamlineusa.com/commercial/vivvi-daycare-hudson-yards/" TargetMode="External"/><Relationship Id="rId1" Type="http://schemas.openxmlformats.org/officeDocument/2006/relationships/hyperlink" Target="https://www.staging8.streamlineusa.com/residential/5th-avenue-townhouse/" TargetMode="External"/><Relationship Id="rId2" Type="http://schemas.openxmlformats.org/officeDocument/2006/relationships/hyperlink" Target="http://www.staging8.streamlineusa.com/wp-content/uploads/2020/07/5th-Ave-Featured-copy.jpg" TargetMode="External"/><Relationship Id="rId3" Type="http://schemas.openxmlformats.org/officeDocument/2006/relationships/hyperlink" Target="https://www.staging8.streamlineusa.com/residential/murray-hill-apartments/" TargetMode="External"/><Relationship Id="rId4" Type="http://schemas.openxmlformats.org/officeDocument/2006/relationships/hyperlink" Target="http://www.staging8.streamlineusa.com/wp-content/uploads/2019/12/Murray-Hill-Featured.jpg" TargetMode="External"/><Relationship Id="rId9" Type="http://schemas.openxmlformats.org/officeDocument/2006/relationships/hyperlink" Target="https://www.staging8.streamlineusa.com/residential/jackson-heights-townhouse/" TargetMode="External"/><Relationship Id="rId48" Type="http://schemas.openxmlformats.org/officeDocument/2006/relationships/hyperlink" Target="http://www.staging8.streamlineusa.com/wp-content/uploads/2020/02/IMG_8648-scaled.jpg" TargetMode="External"/><Relationship Id="rId47" Type="http://schemas.openxmlformats.org/officeDocument/2006/relationships/hyperlink" Target="https://www.staging8.streamlineusa.com/commercial/mackage-soho/" TargetMode="External"/><Relationship Id="rId49" Type="http://schemas.openxmlformats.org/officeDocument/2006/relationships/hyperlink" Target="https://www.staging8.streamlineusa.com/residential/madison-avenue-penthouse/" TargetMode="External"/><Relationship Id="rId5" Type="http://schemas.openxmlformats.org/officeDocument/2006/relationships/hyperlink" Target="https://www.staging8.streamlineusa.com/residential/hells-kitchen-apt/" TargetMode="External"/><Relationship Id="rId6" Type="http://schemas.openxmlformats.org/officeDocument/2006/relationships/hyperlink" Target="http://www.staging8.streamlineusa.com/wp-content/uploads/2022/02/20210310_425West53rdSt-3669.jpg" TargetMode="External"/><Relationship Id="rId7" Type="http://schemas.openxmlformats.org/officeDocument/2006/relationships/hyperlink" Target="https://www.staging8.streamlineusa.com/residential/upper-west-side-townhouse/" TargetMode="External"/><Relationship Id="rId8" Type="http://schemas.openxmlformats.org/officeDocument/2006/relationships/hyperlink" Target="http://www.staging8.streamlineusa.com/wp-content/uploads/2019/12/BlackHenselNYC_021-scaled.jpg" TargetMode="External"/><Relationship Id="rId73" Type="http://schemas.openxmlformats.org/officeDocument/2006/relationships/hyperlink" Target="https://www.staging8.streamlineusa.com/residential/tribeca-loft/" TargetMode="External"/><Relationship Id="rId72" Type="http://schemas.openxmlformats.org/officeDocument/2006/relationships/hyperlink" Target="http://www.staging8.streamlineusa.com/wp-content/uploads/2019/12/THOMPSON_STUDIO-Featured-scaled.jpg" TargetMode="External"/><Relationship Id="rId31" Type="http://schemas.openxmlformats.org/officeDocument/2006/relationships/hyperlink" Target="https://www.staging8.streamlineusa.com/commercial/haus-nightclub/" TargetMode="External"/><Relationship Id="rId75" Type="http://schemas.openxmlformats.org/officeDocument/2006/relationships/hyperlink" Target="https://www.staging8.streamlineusa.com/residential/upper-west-side-apartment/" TargetMode="External"/><Relationship Id="rId30" Type="http://schemas.openxmlformats.org/officeDocument/2006/relationships/hyperlink" Target="http://www.staging8.streamlineusa.com/wp-content/uploads/2019/12/Gunter-3.jpg" TargetMode="External"/><Relationship Id="rId74" Type="http://schemas.openxmlformats.org/officeDocument/2006/relationships/hyperlink" Target="http://www.staging8.streamlineusa.com/wp-content/uploads/2019/12/IMG_1243-scaled.jpg" TargetMode="External"/><Relationship Id="rId33" Type="http://schemas.openxmlformats.org/officeDocument/2006/relationships/hyperlink" Target="https://www.staging8.streamlineusa.com/residential/horatio-st-townhouse/" TargetMode="External"/><Relationship Id="rId77" Type="http://schemas.openxmlformats.org/officeDocument/2006/relationships/hyperlink" Target="https://www.staging8.streamlineusa.com/commercial/versa-marriott/" TargetMode="External"/><Relationship Id="rId32" Type="http://schemas.openxmlformats.org/officeDocument/2006/relationships/hyperlink" Target="http://www.staging8.streamlineusa.com/wp-content/uploads/2020/07/Haus-Featured.jpg" TargetMode="External"/><Relationship Id="rId76" Type="http://schemas.openxmlformats.org/officeDocument/2006/relationships/hyperlink" Target="http://www.staging8.streamlineusa.com/wp-content/uploads/2020/05/Upper-West-Side-Apt-Featured.jpg" TargetMode="External"/><Relationship Id="rId35" Type="http://schemas.openxmlformats.org/officeDocument/2006/relationships/hyperlink" Target="https://www.staging8.streamlineusa.com/residential/hudson-street-penthouse/" TargetMode="External"/><Relationship Id="rId79" Type="http://schemas.openxmlformats.org/officeDocument/2006/relationships/hyperlink" Target="https://www.staging8.streamlineusa.com/commercial/vivvi-daycare/" TargetMode="External"/><Relationship Id="rId34" Type="http://schemas.openxmlformats.org/officeDocument/2006/relationships/hyperlink" Target="http://www.staging8.streamlineusa.com/wp-content/uploads/2019/12/tersigni-palachek-residential-west-village-02.png" TargetMode="External"/><Relationship Id="rId78" Type="http://schemas.openxmlformats.org/officeDocument/2006/relationships/hyperlink" Target="http://www.staging8.streamlineusa.com/wp-content/uploads/2019/12/Versa-3.jpg" TargetMode="External"/><Relationship Id="rId71" Type="http://schemas.openxmlformats.org/officeDocument/2006/relationships/hyperlink" Target="https://www.staging8.streamlineusa.com/residential/thompson-st-studio/" TargetMode="External"/><Relationship Id="rId70" Type="http://schemas.openxmlformats.org/officeDocument/2006/relationships/hyperlink" Target="http://www.staging8.streamlineusa.com/wp-content/uploads/2020/02/DSC_0872-scaled.jpeg" TargetMode="External"/><Relationship Id="rId37" Type="http://schemas.openxmlformats.org/officeDocument/2006/relationships/hyperlink" Target="https://www.staging8.streamlineusa.com/commercial/hudson-yards-mall/" TargetMode="External"/><Relationship Id="rId36" Type="http://schemas.openxmlformats.org/officeDocument/2006/relationships/hyperlink" Target="http://www.staging8.streamlineusa.com/wp-content/uploads/2019/12/Hudson-Featured-1.jpg" TargetMode="External"/><Relationship Id="rId39" Type="http://schemas.openxmlformats.org/officeDocument/2006/relationships/hyperlink" Target="https://www.staging8.streamlineusa.com/commercial/indeed-corporate-office-suite/" TargetMode="External"/><Relationship Id="rId38" Type="http://schemas.openxmlformats.org/officeDocument/2006/relationships/hyperlink" Target="http://www.staging8.streamlineusa.com/wp-content/uploads/2022/02/20210222_HudsonYardsMall-0087-scaled.jpg" TargetMode="External"/><Relationship Id="rId62" Type="http://schemas.openxmlformats.org/officeDocument/2006/relationships/hyperlink" Target="http://www.staging8.streamlineusa.com/wp-content/uploads/2022/02/420-riverside-134.jpg" TargetMode="External"/><Relationship Id="rId61" Type="http://schemas.openxmlformats.org/officeDocument/2006/relationships/hyperlink" Target="https://www.staging8.streamlineusa.com/residential/riverside-apt/" TargetMode="External"/><Relationship Id="rId20" Type="http://schemas.openxmlformats.org/officeDocument/2006/relationships/hyperlink" Target="http://www.staging8.streamlineusa.com/wp-content/uploads/2019/12/Upper-East-Side-Penthouse-Featured.jpg" TargetMode="External"/><Relationship Id="rId64" Type="http://schemas.openxmlformats.org/officeDocument/2006/relationships/hyperlink" Target="http://www.staging8.streamlineusa.com/wp-content/uploads/2019/12/Spring-Studio-Featured.jpg" TargetMode="External"/><Relationship Id="rId63" Type="http://schemas.openxmlformats.org/officeDocument/2006/relationships/hyperlink" Target="https://www.staging8.streamlineusa.com/commercial/spring-studios-spring-place/" TargetMode="External"/><Relationship Id="rId22" Type="http://schemas.openxmlformats.org/officeDocument/2006/relationships/hyperlink" Target="http://www.staging8.streamlineusa.com/wp-content/uploads/2020/05/East-Side-Townhouse-Featured.jpg" TargetMode="External"/><Relationship Id="rId66" Type="http://schemas.openxmlformats.org/officeDocument/2006/relationships/hyperlink" Target="http://www.staging8.streamlineusa.com/wp-content/uploads/2019/12/1-1.jpg" TargetMode="External"/><Relationship Id="rId21" Type="http://schemas.openxmlformats.org/officeDocument/2006/relationships/hyperlink" Target="https://www.staging8.streamlineusa.com/residential/east-side-townhouse/" TargetMode="External"/><Relationship Id="rId65" Type="http://schemas.openxmlformats.org/officeDocument/2006/relationships/hyperlink" Target="https://www.staging8.streamlineusa.com/residential/west-village-townhouse/" TargetMode="External"/><Relationship Id="rId24" Type="http://schemas.openxmlformats.org/officeDocument/2006/relationships/hyperlink" Target="http://www.staging8.streamlineusa.com/wp-content/uploads/2019/12/Free-People-Updated-Featured.jpg" TargetMode="External"/><Relationship Id="rId68" Type="http://schemas.openxmlformats.org/officeDocument/2006/relationships/hyperlink" Target="http://www.staging8.streamlineusa.com/wp-content/uploads/2019/12/Sugarcane-Featured.jpg" TargetMode="External"/><Relationship Id="rId23" Type="http://schemas.openxmlformats.org/officeDocument/2006/relationships/hyperlink" Target="https://www.staging8.streamlineusa.com/commercial/free-people-retail-store/" TargetMode="External"/><Relationship Id="rId67" Type="http://schemas.openxmlformats.org/officeDocument/2006/relationships/hyperlink" Target="https://www.staging8.streamlineusa.com/commercial/sugar-cane-raw-bar-and-grill/" TargetMode="External"/><Relationship Id="rId60" Type="http://schemas.openxmlformats.org/officeDocument/2006/relationships/hyperlink" Target="http://www.staging8.streamlineusa.com/wp-content/uploads/2020/05/My-Darling-Ivy-Featured.jpg" TargetMode="External"/><Relationship Id="rId26" Type="http://schemas.openxmlformats.org/officeDocument/2006/relationships/hyperlink" Target="http://www.staging8.streamlineusa.com/wp-content/uploads/2019/12/OPRY1.jpg" TargetMode="External"/><Relationship Id="rId25" Type="http://schemas.openxmlformats.org/officeDocument/2006/relationships/hyperlink" Target="https://www.staging8.streamlineusa.com/commercial/grand-ole-opry-city-stage/" TargetMode="External"/><Relationship Id="rId69" Type="http://schemas.openxmlformats.org/officeDocument/2006/relationships/hyperlink" Target="https://www.staging8.streamlineusa.com/residential/sullivan-st-duplex/" TargetMode="External"/><Relationship Id="rId28" Type="http://schemas.openxmlformats.org/officeDocument/2006/relationships/hyperlink" Target="http://www.staging8.streamlineusa.com/wp-content/uploads/2020/05/Ground-Central-Featured.jpg" TargetMode="External"/><Relationship Id="rId27" Type="http://schemas.openxmlformats.org/officeDocument/2006/relationships/hyperlink" Target="https://www.staging8.streamlineusa.com/commercial/ground-central-coffee-company/" TargetMode="External"/><Relationship Id="rId29" Type="http://schemas.openxmlformats.org/officeDocument/2006/relationships/hyperlink" Target="https://www.staging8.streamlineusa.com/commercial/gunter-seeger/" TargetMode="External"/><Relationship Id="rId51" Type="http://schemas.openxmlformats.org/officeDocument/2006/relationships/hyperlink" Target="https://www.staging8.streamlineusa.com/commercial/mexicue/" TargetMode="External"/><Relationship Id="rId50" Type="http://schemas.openxmlformats.org/officeDocument/2006/relationships/hyperlink" Target="http://www.staging8.streamlineusa.com/wp-content/uploads/2019/12/SL-_-Residential-_-215-Madision-_-Residence-3.425x3.jpg" TargetMode="External"/><Relationship Id="rId53" Type="http://schemas.openxmlformats.org/officeDocument/2006/relationships/hyperlink" Target="https://www.staging8.streamlineusa.com/commercial/mint-kitchen-restaurant/" TargetMode="External"/><Relationship Id="rId52" Type="http://schemas.openxmlformats.org/officeDocument/2006/relationships/hyperlink" Target="http://www.staging8.streamlineusa.com/wp-content/uploads/2019/12/MEX1.jpg" TargetMode="External"/><Relationship Id="rId11" Type="http://schemas.openxmlformats.org/officeDocument/2006/relationships/hyperlink" Target="https://www.staging8.streamlineusa.com/commercial/atrium-corporate-office/" TargetMode="External"/><Relationship Id="rId55" Type="http://schemas.openxmlformats.org/officeDocument/2006/relationships/hyperlink" Target="https://www.staging8.streamlineusa.com/commercial/momofuku-ko/" TargetMode="External"/><Relationship Id="rId10" Type="http://schemas.openxmlformats.org/officeDocument/2006/relationships/hyperlink" Target="http://www.staging8.streamlineusa.com/wp-content/uploads/2020/05/Jackson-Heights-Featured.png" TargetMode="External"/><Relationship Id="rId54" Type="http://schemas.openxmlformats.org/officeDocument/2006/relationships/hyperlink" Target="http://www.staging8.streamlineusa.com/wp-content/uploads/2019/12/Creme_Mint-Kitchen_HR-11-scaled.jpg" TargetMode="External"/><Relationship Id="rId13" Type="http://schemas.openxmlformats.org/officeDocument/2006/relationships/hyperlink" Target="https://www.staging8.streamlineusa.com/commercial/boqueria-restaurant/" TargetMode="External"/><Relationship Id="rId57" Type="http://schemas.openxmlformats.org/officeDocument/2006/relationships/hyperlink" Target="https://www.staging8.streamlineusa.com/commercial/motel-23-lounge/" TargetMode="External"/><Relationship Id="rId12" Type="http://schemas.openxmlformats.org/officeDocument/2006/relationships/hyperlink" Target="http://www.staging8.streamlineusa.com/wp-content/uploads/2019/12/Streamline-USA-Atrium-5.65x4.11.jpg" TargetMode="External"/><Relationship Id="rId56" Type="http://schemas.openxmlformats.org/officeDocument/2006/relationships/hyperlink" Target="http://www.staging8.streamlineusa.com/wp-content/uploads/2019/12/Momofuku-Featured.jpg" TargetMode="External"/><Relationship Id="rId91" Type="http://schemas.openxmlformats.org/officeDocument/2006/relationships/hyperlink" Target="https://www.staging8.streamlineusa.com/residential/wyckoff-st-townhouse/" TargetMode="External"/><Relationship Id="rId90" Type="http://schemas.openxmlformats.org/officeDocument/2006/relationships/hyperlink" Target="http://www.staging8.streamlineusa.com/wp-content/uploads/2019/12/W23-Featured.jpg.png" TargetMode="External"/><Relationship Id="rId93" Type="http://schemas.openxmlformats.org/officeDocument/2006/relationships/drawing" Target="../drawings/drawing4.xml"/><Relationship Id="rId92" Type="http://schemas.openxmlformats.org/officeDocument/2006/relationships/hyperlink" Target="http://www.staging8.streamlineusa.com/wp-content/uploads/2022/02/20211202_118WyckoffSt-0964-scaled.jpg" TargetMode="External"/><Relationship Id="rId15" Type="http://schemas.openxmlformats.org/officeDocument/2006/relationships/hyperlink" Target="https://www.staging8.streamlineusa.com/commercial/burger-lobster/" TargetMode="External"/><Relationship Id="rId59" Type="http://schemas.openxmlformats.org/officeDocument/2006/relationships/hyperlink" Target="https://www.staging8.streamlineusa.com/commercial/my-darling-ivy/" TargetMode="External"/><Relationship Id="rId14" Type="http://schemas.openxmlformats.org/officeDocument/2006/relationships/hyperlink" Target="http://www.staging8.streamlineusa.com/wp-content/uploads/2019/12/Featured-1-scaled.jpg" TargetMode="External"/><Relationship Id="rId58" Type="http://schemas.openxmlformats.org/officeDocument/2006/relationships/hyperlink" Target="http://www.staging8.streamlineusa.com/wp-content/uploads/2020/05/Motel-23-Featured.jpg" TargetMode="External"/><Relationship Id="rId17" Type="http://schemas.openxmlformats.org/officeDocument/2006/relationships/hyperlink" Target="https://www.staging8.streamlineusa.com/residential/duane-street-penthouse/" TargetMode="External"/><Relationship Id="rId16" Type="http://schemas.openxmlformats.org/officeDocument/2006/relationships/hyperlink" Target="http://www.staging8.streamlineusa.com/wp-content/uploads/2019/12/BURGERLOBSTER3.jpg" TargetMode="External"/><Relationship Id="rId19" Type="http://schemas.openxmlformats.org/officeDocument/2006/relationships/hyperlink" Target="https://www.staging8.streamlineusa.com/residential/upper-east-side-penthouse/" TargetMode="External"/><Relationship Id="rId18" Type="http://schemas.openxmlformats.org/officeDocument/2006/relationships/hyperlink" Target="http://www.staging8.streamlineusa.com/wp-content/uploads/2022/02/20211021_129DuaneSt-8110-scaled.jpg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://www.streamlineusa.com/wp-content/uploads/2019/12/Indeed-Updated-Featured.jpg" TargetMode="External"/><Relationship Id="rId84" Type="http://schemas.openxmlformats.org/officeDocument/2006/relationships/hyperlink" Target="http://www.streamlineusa.com/wp-content/uploads/2022/02/20210222_30WarrenSt-0178.jpg" TargetMode="External"/><Relationship Id="rId83" Type="http://schemas.openxmlformats.org/officeDocument/2006/relationships/hyperlink" Target="https://www.streamlineusa.com/residential/warren-st-apt/" TargetMode="External"/><Relationship Id="rId42" Type="http://schemas.openxmlformats.org/officeDocument/2006/relationships/hyperlink" Target="http://www.streamlineusa.com/wp-content/uploads/2019/12/Screen-Shot-2016-03-02-at-1.48.15-PM.jpg" TargetMode="External"/><Relationship Id="rId86" Type="http://schemas.openxmlformats.org/officeDocument/2006/relationships/hyperlink" Target="http://www.streamlineusa.com/wp-content/uploads/2019/12/wash.jpg" TargetMode="External"/><Relationship Id="rId41" Type="http://schemas.openxmlformats.org/officeDocument/2006/relationships/hyperlink" Target="https://www.streamlineusa.com/commercial/kat-theo/" TargetMode="External"/><Relationship Id="rId85" Type="http://schemas.openxmlformats.org/officeDocument/2006/relationships/hyperlink" Target="https://www.streamlineusa.com/commercial/upper-east-side-townhouse/" TargetMode="External"/><Relationship Id="rId44" Type="http://schemas.openxmlformats.org/officeDocument/2006/relationships/hyperlink" Target="http://www.streamlineusa.com/wp-content/uploads/2019/12/StreamlineUSA-RET-Kith-03-4.37x3.4.jpg" TargetMode="External"/><Relationship Id="rId88" Type="http://schemas.openxmlformats.org/officeDocument/2006/relationships/hyperlink" Target="http://www.streamlineusa.com/wp-content/uploads/2019/12/W23-Featured.jpg.png" TargetMode="External"/><Relationship Id="rId43" Type="http://schemas.openxmlformats.org/officeDocument/2006/relationships/hyperlink" Target="https://www.streamlineusa.com/commercial/kith/" TargetMode="External"/><Relationship Id="rId87" Type="http://schemas.openxmlformats.org/officeDocument/2006/relationships/hyperlink" Target="https://www.streamlineusa.com/residential/west-23rd-townhouse-2/" TargetMode="External"/><Relationship Id="rId46" Type="http://schemas.openxmlformats.org/officeDocument/2006/relationships/hyperlink" Target="http://www.streamlineusa.com/wp-content/uploads/2020/02/UES-8-e1595540404244.jpg" TargetMode="External"/><Relationship Id="rId45" Type="http://schemas.openxmlformats.org/officeDocument/2006/relationships/hyperlink" Target="https://www.streamlineusa.com/residential/lexington-ave-townhouse/" TargetMode="External"/><Relationship Id="rId89" Type="http://schemas.openxmlformats.org/officeDocument/2006/relationships/hyperlink" Target="https://www.streamlineusa.com/residential/wyckoff-townhouse/" TargetMode="External"/><Relationship Id="rId80" Type="http://schemas.openxmlformats.org/officeDocument/2006/relationships/hyperlink" Target="http://www.streamlineusa.com/wp-content/uploads/2022/02/20210219_55HudsonYards-5373-scaled.jpg" TargetMode="External"/><Relationship Id="rId82" Type="http://schemas.openxmlformats.org/officeDocument/2006/relationships/hyperlink" Target="http://www.streamlineusa.com/wp-content/uploads/2020/05/IMG_1256.png" TargetMode="External"/><Relationship Id="rId81" Type="http://schemas.openxmlformats.org/officeDocument/2006/relationships/hyperlink" Target="https://www.streamlineusa.com/residential/wainscott-east-hampton-residence/" TargetMode="External"/><Relationship Id="rId1" Type="http://schemas.openxmlformats.org/officeDocument/2006/relationships/hyperlink" Target="https://www.streamlineusa.com/residential/12th-st-townhouse-greenwich-village/" TargetMode="External"/><Relationship Id="rId2" Type="http://schemas.openxmlformats.org/officeDocument/2006/relationships/hyperlink" Target="http://www.streamlineusa.com/wp-content/uploads/2020/07/5th-Ave-Featured-copy.jpg" TargetMode="External"/><Relationship Id="rId3" Type="http://schemas.openxmlformats.org/officeDocument/2006/relationships/hyperlink" Target="https://www.streamlineusa.com/residential/1st-ave-apt/" TargetMode="External"/><Relationship Id="rId4" Type="http://schemas.openxmlformats.org/officeDocument/2006/relationships/hyperlink" Target="http://www.streamlineusa.com/wp-content/uploads/2019/12/Murray-Hill-Featured.jpg" TargetMode="External"/><Relationship Id="rId9" Type="http://schemas.openxmlformats.org/officeDocument/2006/relationships/hyperlink" Target="https://www.streamlineusa.com/residential/84th-st-townhouse/" TargetMode="External"/><Relationship Id="rId48" Type="http://schemas.openxmlformats.org/officeDocument/2006/relationships/hyperlink" Target="http://www.streamlineusa.com/wp-content/uploads/2020/02/IMG_8648-scaled.jpg" TargetMode="External"/><Relationship Id="rId47" Type="http://schemas.openxmlformats.org/officeDocument/2006/relationships/hyperlink" Target="https://www.streamlineusa.com/commercial/mackage-soho/" TargetMode="External"/><Relationship Id="rId49" Type="http://schemas.openxmlformats.org/officeDocument/2006/relationships/hyperlink" Target="https://www.streamlineusa.com/residential/madison-ave-duplex-2/" TargetMode="External"/><Relationship Id="rId5" Type="http://schemas.openxmlformats.org/officeDocument/2006/relationships/hyperlink" Target="https://www.streamlineusa.com/residential/53rd-st-studio/" TargetMode="External"/><Relationship Id="rId6" Type="http://schemas.openxmlformats.org/officeDocument/2006/relationships/hyperlink" Target="http://www.streamlineusa.com/wp-content/uploads/2022/02/20210310_425West53rdSt-3669.jpg" TargetMode="External"/><Relationship Id="rId7" Type="http://schemas.openxmlformats.org/officeDocument/2006/relationships/hyperlink" Target="https://www.streamlineusa.com/residential/69th-st-townhouse/" TargetMode="External"/><Relationship Id="rId8" Type="http://schemas.openxmlformats.org/officeDocument/2006/relationships/hyperlink" Target="http://www.streamlineusa.com/wp-content/uploads/2019/12/BlackHenselNYC_021-scaled.jpg" TargetMode="External"/><Relationship Id="rId73" Type="http://schemas.openxmlformats.org/officeDocument/2006/relationships/hyperlink" Target="https://www.streamlineusa.com/residential/upper-west-side-apartment/" TargetMode="External"/><Relationship Id="rId72" Type="http://schemas.openxmlformats.org/officeDocument/2006/relationships/hyperlink" Target="http://www.streamlineusa.com/wp-content/uploads/2019/12/Tribeca-Loft-Featured-scaled.jpg" TargetMode="External"/><Relationship Id="rId31" Type="http://schemas.openxmlformats.org/officeDocument/2006/relationships/hyperlink" Target="https://www.streamlineusa.com/commercial/haus-nightclub/" TargetMode="External"/><Relationship Id="rId75" Type="http://schemas.openxmlformats.org/officeDocument/2006/relationships/hyperlink" Target="https://www.streamlineusa.com/commercial/versa-marriott/" TargetMode="External"/><Relationship Id="rId30" Type="http://schemas.openxmlformats.org/officeDocument/2006/relationships/hyperlink" Target="http://www.streamlineusa.com/wp-content/uploads/2019/12/Gunter-3.jpg" TargetMode="External"/><Relationship Id="rId74" Type="http://schemas.openxmlformats.org/officeDocument/2006/relationships/hyperlink" Target="http://www.streamlineusa.com/wp-content/uploads/2020/05/Upper-West-Side-Apt-Featured.jpg" TargetMode="External"/><Relationship Id="rId33" Type="http://schemas.openxmlformats.org/officeDocument/2006/relationships/hyperlink" Target="https://www.streamlineusa.com/residential/horatio-st-townhouse/" TargetMode="External"/><Relationship Id="rId77" Type="http://schemas.openxmlformats.org/officeDocument/2006/relationships/hyperlink" Target="https://www.streamlineusa.com/commercial/vivvi-daycare-tribeca/" TargetMode="External"/><Relationship Id="rId32" Type="http://schemas.openxmlformats.org/officeDocument/2006/relationships/hyperlink" Target="http://www.streamlineusa.com/wp-content/uploads/2020/07/Haus-Featured.jpg" TargetMode="External"/><Relationship Id="rId76" Type="http://schemas.openxmlformats.org/officeDocument/2006/relationships/hyperlink" Target="http://www.streamlineusa.com/wp-content/uploads/2019/12/Versa-3.jpg" TargetMode="External"/><Relationship Id="rId35" Type="http://schemas.openxmlformats.org/officeDocument/2006/relationships/hyperlink" Target="https://www.streamlineusa.com/residential/hudson-street-penthouse/" TargetMode="External"/><Relationship Id="rId79" Type="http://schemas.openxmlformats.org/officeDocument/2006/relationships/hyperlink" Target="https://www.streamlineusa.com/commercial/vivvi-daycare-hudson-yards/" TargetMode="External"/><Relationship Id="rId34" Type="http://schemas.openxmlformats.org/officeDocument/2006/relationships/hyperlink" Target="http://www.streamlineusa.com/wp-content/uploads/2019/12/tersigni-palachek-residential-west-village-02.png" TargetMode="External"/><Relationship Id="rId78" Type="http://schemas.openxmlformats.org/officeDocument/2006/relationships/hyperlink" Target="http://www.streamlineusa.com/wp-content/uploads/2019/12/11OF11-VIVVI-F.OUDEMAN11-scaled.jpg" TargetMode="External"/><Relationship Id="rId71" Type="http://schemas.openxmlformats.org/officeDocument/2006/relationships/hyperlink" Target="https://www.streamlineusa.com/residential/tribeca-loft/" TargetMode="External"/><Relationship Id="rId70" Type="http://schemas.openxmlformats.org/officeDocument/2006/relationships/hyperlink" Target="http://www.streamlineusa.com/wp-content/uploads/2019/12/THOMPSON_STUDIO-Featured-scaled.jpg" TargetMode="External"/><Relationship Id="rId37" Type="http://schemas.openxmlformats.org/officeDocument/2006/relationships/hyperlink" Target="https://www.streamlineusa.com/commercial/hudson-yards-mall/" TargetMode="External"/><Relationship Id="rId36" Type="http://schemas.openxmlformats.org/officeDocument/2006/relationships/hyperlink" Target="http://www.streamlineusa.com/wp-content/uploads/2019/12/Hudson-Featured-1.jpg" TargetMode="External"/><Relationship Id="rId39" Type="http://schemas.openxmlformats.org/officeDocument/2006/relationships/hyperlink" Target="https://www.streamlineusa.com/commercial/indeed-corporate-office-suite/" TargetMode="External"/><Relationship Id="rId38" Type="http://schemas.openxmlformats.org/officeDocument/2006/relationships/hyperlink" Target="http://www.streamlineusa.com/wp-content/uploads/2022/02/20210222_HudsonYardsMall-0087-scaled.jpg" TargetMode="External"/><Relationship Id="rId62" Type="http://schemas.openxmlformats.org/officeDocument/2006/relationships/hyperlink" Target="http://www.streamlineusa.com/wp-content/uploads/2019/12/SP2020_3.png" TargetMode="External"/><Relationship Id="rId61" Type="http://schemas.openxmlformats.org/officeDocument/2006/relationships/hyperlink" Target="https://www.streamlineusa.com/commercial/spring-studios-spring-place/" TargetMode="External"/><Relationship Id="rId20" Type="http://schemas.openxmlformats.org/officeDocument/2006/relationships/hyperlink" Target="http://www.streamlineusa.com/wp-content/uploads/2019/12/Upper-East-Side-Penthouse-Featured.jpg" TargetMode="External"/><Relationship Id="rId64" Type="http://schemas.openxmlformats.org/officeDocument/2006/relationships/hyperlink" Target="http://www.streamlineusa.com/wp-content/uploads/2019/12/1-1.jpg" TargetMode="External"/><Relationship Id="rId63" Type="http://schemas.openxmlformats.org/officeDocument/2006/relationships/hyperlink" Target="https://www.streamlineusa.com/residential/st-lukes-place-townhouse/" TargetMode="External"/><Relationship Id="rId22" Type="http://schemas.openxmlformats.org/officeDocument/2006/relationships/hyperlink" Target="http://www.streamlineusa.com/wp-content/uploads/2020/05/20200416_118East64th-3022.jpg" TargetMode="External"/><Relationship Id="rId66" Type="http://schemas.openxmlformats.org/officeDocument/2006/relationships/hyperlink" Target="http://www.streamlineusa.com/wp-content/uploads/2019/12/Sugarcane-Featured.jpg" TargetMode="External"/><Relationship Id="rId21" Type="http://schemas.openxmlformats.org/officeDocument/2006/relationships/hyperlink" Target="https://www.streamlineusa.com/residential/e64-st-townhouse/" TargetMode="External"/><Relationship Id="rId65" Type="http://schemas.openxmlformats.org/officeDocument/2006/relationships/hyperlink" Target="https://www.streamlineusa.com/commercial/sugar-cane-raw-bar-and-grill/" TargetMode="External"/><Relationship Id="rId24" Type="http://schemas.openxmlformats.org/officeDocument/2006/relationships/hyperlink" Target="http://www.streamlineusa.com/wp-content/uploads/2019/12/Free-People-Updated-Featured.jpg" TargetMode="External"/><Relationship Id="rId68" Type="http://schemas.openxmlformats.org/officeDocument/2006/relationships/hyperlink" Target="http://www.streamlineusa.com/wp-content/uploads/2020/02/DSC_0847-scaled.jpg" TargetMode="External"/><Relationship Id="rId23" Type="http://schemas.openxmlformats.org/officeDocument/2006/relationships/hyperlink" Target="https://www.streamlineusa.com/commercial/free-people-retail-store/" TargetMode="External"/><Relationship Id="rId67" Type="http://schemas.openxmlformats.org/officeDocument/2006/relationships/hyperlink" Target="https://www.streamlineusa.com/residential/sullivan-st-duplex-2/" TargetMode="External"/><Relationship Id="rId60" Type="http://schemas.openxmlformats.org/officeDocument/2006/relationships/hyperlink" Target="http://www.streamlineusa.com/wp-content/uploads/2022/02/420-riverside-134.jpg" TargetMode="External"/><Relationship Id="rId26" Type="http://schemas.openxmlformats.org/officeDocument/2006/relationships/hyperlink" Target="http://www.streamlineusa.com/wp-content/uploads/2019/12/OPRY1.jpg" TargetMode="External"/><Relationship Id="rId25" Type="http://schemas.openxmlformats.org/officeDocument/2006/relationships/hyperlink" Target="https://www.streamlineusa.com/commercial/grand-ole-opry-city-stage/" TargetMode="External"/><Relationship Id="rId69" Type="http://schemas.openxmlformats.org/officeDocument/2006/relationships/hyperlink" Target="https://www.streamlineusa.com/residential/thompson-st-studio/" TargetMode="External"/><Relationship Id="rId28" Type="http://schemas.openxmlformats.org/officeDocument/2006/relationships/hyperlink" Target="http://www.streamlineusa.com/wp-content/uploads/2020/05/Ground-Central-Featured.jpg" TargetMode="External"/><Relationship Id="rId27" Type="http://schemas.openxmlformats.org/officeDocument/2006/relationships/hyperlink" Target="https://www.streamlineusa.com/commercial/ground-central-coffee-company/" TargetMode="External"/><Relationship Id="rId29" Type="http://schemas.openxmlformats.org/officeDocument/2006/relationships/hyperlink" Target="https://www.streamlineusa.com/commercial/gunter-seeger/" TargetMode="External"/><Relationship Id="rId51" Type="http://schemas.openxmlformats.org/officeDocument/2006/relationships/hyperlink" Target="https://www.streamlineusa.com/commercial/mint-kitchen-restaurant/" TargetMode="External"/><Relationship Id="rId50" Type="http://schemas.openxmlformats.org/officeDocument/2006/relationships/hyperlink" Target="http://www.streamlineusa.com/wp-content/uploads/2019/12/SL-_-Residential-_-215-Madision-_-Residence-3.425x3.jpg" TargetMode="External"/><Relationship Id="rId53" Type="http://schemas.openxmlformats.org/officeDocument/2006/relationships/hyperlink" Target="https://www.streamlineusa.com/commercial/momofuku-ko/" TargetMode="External"/><Relationship Id="rId52" Type="http://schemas.openxmlformats.org/officeDocument/2006/relationships/hyperlink" Target="http://www.streamlineusa.com/wp-content/uploads/2019/12/Creme_Mint-Kitchen_HR-11-scaled.jpg" TargetMode="External"/><Relationship Id="rId11" Type="http://schemas.openxmlformats.org/officeDocument/2006/relationships/hyperlink" Target="https://www.streamlineusa.com/commercial/autrium-corporate-office/" TargetMode="External"/><Relationship Id="rId55" Type="http://schemas.openxmlformats.org/officeDocument/2006/relationships/hyperlink" Target="https://www.streamlineusa.com/commercial/motel-23-lounge/" TargetMode="External"/><Relationship Id="rId10" Type="http://schemas.openxmlformats.org/officeDocument/2006/relationships/hyperlink" Target="http://www.streamlineusa.com/wp-content/uploads/2020/05/Jackson-Heights-Featured.png" TargetMode="External"/><Relationship Id="rId54" Type="http://schemas.openxmlformats.org/officeDocument/2006/relationships/hyperlink" Target="http://www.streamlineusa.com/wp-content/uploads/2019/12/Momofuku-Featured.jpg" TargetMode="External"/><Relationship Id="rId13" Type="http://schemas.openxmlformats.org/officeDocument/2006/relationships/hyperlink" Target="https://www.streamlineusa.com/commercial/boqueria-restaurant/" TargetMode="External"/><Relationship Id="rId57" Type="http://schemas.openxmlformats.org/officeDocument/2006/relationships/hyperlink" Target="https://www.streamlineusa.com/commercial/my-darling-ivy/" TargetMode="External"/><Relationship Id="rId12" Type="http://schemas.openxmlformats.org/officeDocument/2006/relationships/hyperlink" Target="http://www.streamlineusa.com/wp-content/uploads/2019/12/Streamline-USA-Atrium-5.65x4.11.jpg" TargetMode="External"/><Relationship Id="rId56" Type="http://schemas.openxmlformats.org/officeDocument/2006/relationships/hyperlink" Target="http://www.streamlineusa.com/wp-content/uploads/2020/05/Motel-23-Featured.jpg" TargetMode="External"/><Relationship Id="rId91" Type="http://schemas.openxmlformats.org/officeDocument/2006/relationships/drawing" Target="../drawings/drawing5.xml"/><Relationship Id="rId90" Type="http://schemas.openxmlformats.org/officeDocument/2006/relationships/hyperlink" Target="http://www.streamlineusa.com/wp-content/uploads/2022/02/20211202_118WyckoffSt-0964-scaled.jpg" TargetMode="External"/><Relationship Id="rId15" Type="http://schemas.openxmlformats.org/officeDocument/2006/relationships/hyperlink" Target="https://www.streamlineusa.com/commercial/burger-lobster/" TargetMode="External"/><Relationship Id="rId59" Type="http://schemas.openxmlformats.org/officeDocument/2006/relationships/hyperlink" Target="https://www.streamlineusa.com/residential/riverside-drive-apartment/" TargetMode="External"/><Relationship Id="rId14" Type="http://schemas.openxmlformats.org/officeDocument/2006/relationships/hyperlink" Target="http://www.streamlineusa.com/wp-content/uploads/2019/12/Featured-1-scaled.jpg" TargetMode="External"/><Relationship Id="rId58" Type="http://schemas.openxmlformats.org/officeDocument/2006/relationships/hyperlink" Target="http://www.streamlineusa.com/wp-content/uploads/2020/05/My-Darling-Ivy-Featured.jpg" TargetMode="External"/><Relationship Id="rId17" Type="http://schemas.openxmlformats.org/officeDocument/2006/relationships/hyperlink" Target="https://www.streamlineusa.com/residential/duane-street-penthouse/" TargetMode="External"/><Relationship Id="rId16" Type="http://schemas.openxmlformats.org/officeDocument/2006/relationships/hyperlink" Target="http://www.streamlineusa.com/wp-content/uploads/2019/12/BURGERLOBSTER3.jpg" TargetMode="External"/><Relationship Id="rId19" Type="http://schemas.openxmlformats.org/officeDocument/2006/relationships/hyperlink" Target="https://www.streamlineusa.com/residential/e63-st-penthouse/" TargetMode="External"/><Relationship Id="rId18" Type="http://schemas.openxmlformats.org/officeDocument/2006/relationships/hyperlink" Target="http://www.streamlineusa.com/wp-content/uploads/2019/12/20210310_129DuaneSt-3975-2-scaled.jpg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86"/>
    <col customWidth="1" min="2" max="2" width="9.57"/>
    <col customWidth="1" min="3" max="3" width="34.43"/>
    <col customWidth="1" min="4" max="4" width="24.57"/>
    <col customWidth="1" min="5" max="5" width="14.86"/>
    <col customWidth="1" min="6" max="6" width="29.29"/>
    <col customWidth="1" min="7" max="7" width="32.71"/>
    <col customWidth="1" min="8" max="8" width="39.57"/>
    <col customWidth="1" min="10" max="10" width="26.71"/>
    <col customWidth="1" min="11" max="11" width="78.14"/>
  </cols>
  <sheetData>
    <row r="1">
      <c r="A1" s="2" t="s">
        <v>2</v>
      </c>
      <c r="B1" s="2" t="s">
        <v>20</v>
      </c>
      <c r="C1" s="2" t="s">
        <v>5</v>
      </c>
      <c r="D1" s="2" t="s">
        <v>7</v>
      </c>
      <c r="E1" s="2" t="s">
        <v>8</v>
      </c>
      <c r="F1" s="2" t="s">
        <v>9</v>
      </c>
      <c r="G1" s="2" t="s">
        <v>12</v>
      </c>
      <c r="H1" s="2" t="s">
        <v>14</v>
      </c>
      <c r="I1" s="2" t="s">
        <v>24</v>
      </c>
      <c r="J1" s="2" t="s">
        <v>25</v>
      </c>
      <c r="K1" s="2" t="s">
        <v>26</v>
      </c>
    </row>
    <row r="2">
      <c r="A2" s="6">
        <v>439.0</v>
      </c>
      <c r="B2" s="6">
        <v>1.0</v>
      </c>
      <c r="C2" s="2" t="s">
        <v>21</v>
      </c>
      <c r="D2" s="2" t="s">
        <v>22</v>
      </c>
      <c r="E2" s="6">
        <v>10500.0</v>
      </c>
      <c r="F2" s="2" t="s">
        <v>23</v>
      </c>
      <c r="G2" s="2" t="s">
        <v>31</v>
      </c>
      <c r="H2" s="2" t="s">
        <v>32</v>
      </c>
      <c r="I2" s="2" t="s">
        <v>33</v>
      </c>
      <c r="J2" s="2" t="s">
        <v>35</v>
      </c>
      <c r="K2" s="11" t="s">
        <v>36</v>
      </c>
    </row>
    <row r="3">
      <c r="A3" s="6">
        <v>552.0</v>
      </c>
      <c r="B3" s="6">
        <v>1.0</v>
      </c>
      <c r="C3" s="2" t="s">
        <v>41</v>
      </c>
      <c r="D3" s="2" t="s">
        <v>42</v>
      </c>
      <c r="E3" s="6">
        <v>4000.0</v>
      </c>
      <c r="F3" s="2" t="s">
        <v>23</v>
      </c>
      <c r="G3" s="2" t="s">
        <v>43</v>
      </c>
      <c r="H3" s="2" t="s">
        <v>44</v>
      </c>
      <c r="I3" s="2" t="s">
        <v>46</v>
      </c>
      <c r="J3" s="2"/>
      <c r="K3" s="11" t="s">
        <v>48</v>
      </c>
    </row>
    <row r="4">
      <c r="B4" s="10">
        <v>1.0</v>
      </c>
      <c r="C4" s="10" t="s">
        <v>54</v>
      </c>
      <c r="D4" s="10" t="s">
        <v>57</v>
      </c>
      <c r="E4" s="10">
        <v>12500.0</v>
      </c>
      <c r="F4" s="10" t="s">
        <v>23</v>
      </c>
      <c r="G4" s="10" t="s">
        <v>59</v>
      </c>
      <c r="H4" s="10" t="s">
        <v>61</v>
      </c>
      <c r="I4" s="10" t="s">
        <v>33</v>
      </c>
      <c r="J4" s="10"/>
    </row>
    <row r="5">
      <c r="A5" s="6">
        <v>436.0</v>
      </c>
      <c r="B5" s="6">
        <v>2.0</v>
      </c>
      <c r="C5" s="2" t="s">
        <v>52</v>
      </c>
      <c r="D5" s="2" t="s">
        <v>53</v>
      </c>
      <c r="E5" s="6">
        <v>12500.0</v>
      </c>
      <c r="F5" s="2" t="s">
        <v>55</v>
      </c>
      <c r="G5" s="2" t="s">
        <v>58</v>
      </c>
      <c r="H5" s="2" t="s">
        <v>60</v>
      </c>
      <c r="I5" s="2" t="s">
        <v>33</v>
      </c>
      <c r="J5" s="2" t="s">
        <v>35</v>
      </c>
      <c r="K5" s="11" t="s">
        <v>62</v>
      </c>
    </row>
    <row r="6">
      <c r="A6" s="6">
        <v>2306.0</v>
      </c>
      <c r="B6" s="6">
        <v>2.0</v>
      </c>
      <c r="C6" s="2" t="s">
        <v>65</v>
      </c>
      <c r="D6" s="2" t="s">
        <v>66</v>
      </c>
      <c r="E6" s="6">
        <v>3800.0</v>
      </c>
      <c r="F6" s="14" t="s">
        <v>23</v>
      </c>
      <c r="G6" s="2" t="s">
        <v>67</v>
      </c>
      <c r="H6" s="2" t="s">
        <v>68</v>
      </c>
      <c r="I6" s="2" t="s">
        <v>46</v>
      </c>
      <c r="J6" s="2"/>
      <c r="K6" s="11" t="s">
        <v>69</v>
      </c>
    </row>
    <row r="7">
      <c r="A7" s="6">
        <v>433.0</v>
      </c>
      <c r="B7" s="6">
        <v>3.0</v>
      </c>
      <c r="C7" s="2" t="s">
        <v>27</v>
      </c>
      <c r="D7" s="2" t="s">
        <v>28</v>
      </c>
      <c r="E7" s="6">
        <v>22000.0</v>
      </c>
      <c r="F7" s="2" t="s">
        <v>29</v>
      </c>
      <c r="G7" s="2" t="s">
        <v>72</v>
      </c>
      <c r="H7" s="16" t="s">
        <v>73</v>
      </c>
      <c r="I7" s="2" t="s">
        <v>33</v>
      </c>
      <c r="J7" s="2"/>
      <c r="K7" s="17" t="s">
        <v>34</v>
      </c>
    </row>
    <row r="8">
      <c r="A8" s="6">
        <v>570.0</v>
      </c>
      <c r="B8" s="6">
        <v>3.0</v>
      </c>
      <c r="C8" s="2" t="s">
        <v>83</v>
      </c>
      <c r="D8" s="2" t="s">
        <v>57</v>
      </c>
      <c r="E8" s="6">
        <v>6000.0</v>
      </c>
      <c r="F8" s="2" t="s">
        <v>55</v>
      </c>
      <c r="G8" s="2" t="s">
        <v>86</v>
      </c>
      <c r="H8" s="2" t="s">
        <v>87</v>
      </c>
      <c r="I8" s="2" t="s">
        <v>46</v>
      </c>
      <c r="J8" s="2"/>
      <c r="K8" s="11" t="s">
        <v>88</v>
      </c>
    </row>
    <row r="9">
      <c r="B9" s="10">
        <v>3.0</v>
      </c>
      <c r="C9" s="10" t="s">
        <v>94</v>
      </c>
      <c r="D9" s="10" t="s">
        <v>95</v>
      </c>
      <c r="E9" s="10">
        <v>2100.0</v>
      </c>
      <c r="F9" s="10" t="s">
        <v>23</v>
      </c>
      <c r="G9" s="10" t="s">
        <v>96</v>
      </c>
      <c r="H9" s="10" t="s">
        <v>96</v>
      </c>
      <c r="I9" s="10" t="s">
        <v>46</v>
      </c>
      <c r="J9" s="10"/>
      <c r="K9" s="10" t="s">
        <v>97</v>
      </c>
    </row>
    <row r="10">
      <c r="A10" s="6">
        <v>506.0</v>
      </c>
      <c r="B10" s="6">
        <v>4.0</v>
      </c>
      <c r="C10" s="2" t="s">
        <v>98</v>
      </c>
      <c r="D10" s="2" t="s">
        <v>42</v>
      </c>
      <c r="E10" s="6">
        <v>15000.0</v>
      </c>
      <c r="F10" s="2" t="s">
        <v>23</v>
      </c>
      <c r="G10" s="2" t="s">
        <v>99</v>
      </c>
      <c r="H10" s="2" t="s">
        <v>100</v>
      </c>
      <c r="I10" s="2" t="s">
        <v>33</v>
      </c>
      <c r="J10" s="2"/>
      <c r="K10" s="11" t="s">
        <v>103</v>
      </c>
    </row>
    <row r="11">
      <c r="A11" s="6">
        <v>531.0</v>
      </c>
      <c r="B11" s="6">
        <v>4.0</v>
      </c>
      <c r="C11" s="2" t="s">
        <v>112</v>
      </c>
      <c r="D11" s="2" t="s">
        <v>80</v>
      </c>
      <c r="E11" s="6">
        <v>5500.0</v>
      </c>
      <c r="F11" s="2" t="s">
        <v>23</v>
      </c>
      <c r="G11" s="2" t="s">
        <v>113</v>
      </c>
      <c r="H11" s="2" t="s">
        <v>113</v>
      </c>
      <c r="I11" s="2" t="s">
        <v>46</v>
      </c>
      <c r="J11" s="2"/>
      <c r="K11" s="11" t="s">
        <v>114</v>
      </c>
    </row>
    <row r="12">
      <c r="B12" s="10">
        <v>4.0</v>
      </c>
      <c r="C12" s="10" t="s">
        <v>117</v>
      </c>
      <c r="D12" s="10" t="s">
        <v>118</v>
      </c>
      <c r="E12" s="10">
        <v>7500.0</v>
      </c>
      <c r="F12" s="10" t="s">
        <v>23</v>
      </c>
      <c r="G12" s="10" t="s">
        <v>119</v>
      </c>
      <c r="H12" s="10" t="s">
        <v>120</v>
      </c>
      <c r="I12" s="10" t="s">
        <v>33</v>
      </c>
      <c r="J12" s="10"/>
    </row>
    <row r="13">
      <c r="A13" s="6">
        <v>517.0</v>
      </c>
      <c r="B13" s="6">
        <v>5.0</v>
      </c>
      <c r="C13" s="2" t="s">
        <v>124</v>
      </c>
      <c r="D13" s="2" t="s">
        <v>42</v>
      </c>
      <c r="E13" s="6">
        <v>3500.0</v>
      </c>
      <c r="F13" s="2" t="s">
        <v>127</v>
      </c>
      <c r="G13" s="2" t="s">
        <v>128</v>
      </c>
      <c r="H13" s="2" t="s">
        <v>130</v>
      </c>
      <c r="I13" s="2" t="s">
        <v>46</v>
      </c>
      <c r="J13" s="2"/>
      <c r="K13" s="11" t="s">
        <v>131</v>
      </c>
    </row>
    <row r="14">
      <c r="A14" s="6">
        <v>555.0</v>
      </c>
      <c r="B14" s="6">
        <v>5.0</v>
      </c>
      <c r="C14" s="2" t="s">
        <v>138</v>
      </c>
      <c r="D14" s="2" t="s">
        <v>22</v>
      </c>
      <c r="E14" s="6">
        <v>36000.0</v>
      </c>
      <c r="F14" s="2" t="s">
        <v>139</v>
      </c>
      <c r="G14" s="8" t="s">
        <v>140</v>
      </c>
      <c r="H14" s="8"/>
      <c r="I14" s="2" t="s">
        <v>33</v>
      </c>
      <c r="J14" s="2"/>
      <c r="K14" s="11" t="s">
        <v>144</v>
      </c>
    </row>
    <row r="15">
      <c r="B15" s="10">
        <v>5.0</v>
      </c>
      <c r="C15" s="10" t="s">
        <v>146</v>
      </c>
      <c r="D15" s="10" t="s">
        <v>147</v>
      </c>
      <c r="E15" s="10">
        <v>4200.0</v>
      </c>
      <c r="F15" s="10" t="s">
        <v>23</v>
      </c>
      <c r="G15" s="10" t="s">
        <v>148</v>
      </c>
      <c r="H15" s="10" t="s">
        <v>148</v>
      </c>
      <c r="I15" s="10" t="s">
        <v>33</v>
      </c>
      <c r="J15" s="10" t="s">
        <v>35</v>
      </c>
      <c r="K15" s="10" t="s">
        <v>150</v>
      </c>
    </row>
    <row r="16">
      <c r="A16" s="6">
        <v>561.0</v>
      </c>
      <c r="B16" s="6">
        <v>6.0</v>
      </c>
      <c r="C16" s="2" t="s">
        <v>153</v>
      </c>
      <c r="D16" s="2" t="s">
        <v>154</v>
      </c>
      <c r="E16" s="6">
        <v>7500.0</v>
      </c>
      <c r="F16" s="2" t="s">
        <v>23</v>
      </c>
      <c r="G16" s="2" t="s">
        <v>156</v>
      </c>
      <c r="H16" s="2" t="s">
        <v>156</v>
      </c>
      <c r="I16" s="2" t="s">
        <v>33</v>
      </c>
      <c r="J16" s="2" t="s">
        <v>158</v>
      </c>
      <c r="K16" s="11" t="s">
        <v>159</v>
      </c>
    </row>
    <row r="17">
      <c r="A17" s="6">
        <v>2842.0</v>
      </c>
      <c r="B17" s="6">
        <v>6.0</v>
      </c>
      <c r="C17" s="2" t="s">
        <v>165</v>
      </c>
      <c r="D17" s="2" t="s">
        <v>166</v>
      </c>
      <c r="E17" s="6">
        <v>2900.0</v>
      </c>
      <c r="F17" s="2" t="s">
        <v>23</v>
      </c>
      <c r="G17" s="2" t="s">
        <v>167</v>
      </c>
      <c r="H17" s="2" t="s">
        <v>68</v>
      </c>
      <c r="I17" s="2" t="s">
        <v>46</v>
      </c>
      <c r="J17" s="2"/>
      <c r="K17" s="11" t="s">
        <v>168</v>
      </c>
    </row>
    <row r="18">
      <c r="A18" s="6">
        <v>546.0</v>
      </c>
      <c r="B18" s="6">
        <v>7.0</v>
      </c>
      <c r="C18" s="2" t="s">
        <v>175</v>
      </c>
      <c r="D18" s="2" t="s">
        <v>176</v>
      </c>
      <c r="E18" s="6">
        <v>18000.0</v>
      </c>
      <c r="F18" s="2" t="s">
        <v>29</v>
      </c>
      <c r="G18" s="2" t="s">
        <v>177</v>
      </c>
      <c r="H18" s="2" t="s">
        <v>178</v>
      </c>
      <c r="I18" s="2" t="s">
        <v>33</v>
      </c>
      <c r="J18" s="2"/>
      <c r="K18" s="11" t="s">
        <v>179</v>
      </c>
    </row>
    <row r="19">
      <c r="A19" s="6">
        <v>2847.0</v>
      </c>
      <c r="B19" s="6">
        <v>7.0</v>
      </c>
      <c r="C19" s="2" t="s">
        <v>181</v>
      </c>
      <c r="D19" s="2" t="s">
        <v>42</v>
      </c>
      <c r="E19" s="6">
        <v>2600.0</v>
      </c>
      <c r="F19" s="2" t="s">
        <v>23</v>
      </c>
      <c r="G19" s="2" t="s">
        <v>184</v>
      </c>
      <c r="H19" s="2" t="s">
        <v>185</v>
      </c>
      <c r="I19" s="2" t="s">
        <v>46</v>
      </c>
      <c r="J19" s="2"/>
      <c r="K19" s="11" t="s">
        <v>187</v>
      </c>
    </row>
    <row r="20">
      <c r="A20" s="18" t="s">
        <v>192</v>
      </c>
      <c r="B20" s="18">
        <v>7.0</v>
      </c>
      <c r="C20" s="18" t="s">
        <v>196</v>
      </c>
      <c r="D20" s="18" t="s">
        <v>95</v>
      </c>
      <c r="E20" s="18">
        <v>2200.0</v>
      </c>
      <c r="F20" s="18" t="s">
        <v>23</v>
      </c>
      <c r="G20" s="18" t="s">
        <v>197</v>
      </c>
      <c r="H20" s="18" t="s">
        <v>197</v>
      </c>
      <c r="I20" s="18" t="s">
        <v>198</v>
      </c>
      <c r="J20" s="18"/>
      <c r="K20" s="18" t="s">
        <v>199</v>
      </c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>
      <c r="A21" s="6">
        <v>491.0</v>
      </c>
      <c r="B21" s="6">
        <v>8.0</v>
      </c>
      <c r="C21" s="2" t="s">
        <v>90</v>
      </c>
      <c r="D21" s="2" t="s">
        <v>91</v>
      </c>
      <c r="E21" s="6">
        <v>2300.0</v>
      </c>
      <c r="F21" s="2" t="s">
        <v>55</v>
      </c>
      <c r="G21" s="2" t="s">
        <v>92</v>
      </c>
      <c r="H21" s="2" t="s">
        <v>205</v>
      </c>
      <c r="I21" s="2" t="s">
        <v>33</v>
      </c>
      <c r="J21" s="2"/>
      <c r="K21" s="11" t="s">
        <v>93</v>
      </c>
    </row>
    <row r="22">
      <c r="A22" s="6">
        <v>2504.0</v>
      </c>
      <c r="B22" s="6">
        <v>8.0</v>
      </c>
      <c r="C22" s="2" t="s">
        <v>37</v>
      </c>
      <c r="D22" s="2" t="s">
        <v>39</v>
      </c>
      <c r="E22" s="6">
        <v>7000.0</v>
      </c>
      <c r="F22" s="14" t="s">
        <v>45</v>
      </c>
      <c r="G22" s="2" t="s">
        <v>47</v>
      </c>
      <c r="H22" s="2" t="s">
        <v>209</v>
      </c>
      <c r="I22" s="2" t="s">
        <v>46</v>
      </c>
      <c r="J22" s="2"/>
      <c r="K22" s="11" t="s">
        <v>210</v>
      </c>
    </row>
    <row r="23">
      <c r="A23" s="6">
        <v>509.0</v>
      </c>
      <c r="B23" s="6">
        <v>9.0</v>
      </c>
      <c r="C23" s="2" t="s">
        <v>151</v>
      </c>
      <c r="D23" s="2" t="s">
        <v>152</v>
      </c>
      <c r="E23" s="6">
        <v>8500.0</v>
      </c>
      <c r="F23" s="2" t="s">
        <v>55</v>
      </c>
      <c r="G23" s="2" t="s">
        <v>68</v>
      </c>
      <c r="H23" s="2" t="s">
        <v>216</v>
      </c>
      <c r="I23" s="2" t="s">
        <v>33</v>
      </c>
      <c r="J23" s="2" t="s">
        <v>35</v>
      </c>
      <c r="K23" s="11" t="s">
        <v>155</v>
      </c>
    </row>
    <row r="24">
      <c r="A24" s="6">
        <v>567.0</v>
      </c>
      <c r="B24" s="6">
        <v>9.0</v>
      </c>
      <c r="C24" s="2" t="s">
        <v>222</v>
      </c>
      <c r="D24" s="2" t="s">
        <v>223</v>
      </c>
      <c r="E24" s="6">
        <v>3200.0</v>
      </c>
      <c r="F24" s="2" t="s">
        <v>55</v>
      </c>
      <c r="G24" s="2" t="s">
        <v>224</v>
      </c>
      <c r="H24" s="2" t="s">
        <v>225</v>
      </c>
      <c r="I24" s="2" t="s">
        <v>46</v>
      </c>
      <c r="J24" s="2"/>
      <c r="K24" s="11" t="s">
        <v>227</v>
      </c>
    </row>
    <row r="25">
      <c r="A25" s="6">
        <v>512.0</v>
      </c>
      <c r="B25" s="6">
        <v>10.0</v>
      </c>
      <c r="C25" s="2" t="s">
        <v>170</v>
      </c>
      <c r="D25" s="2" t="s">
        <v>171</v>
      </c>
      <c r="E25" s="6">
        <v>4500.0</v>
      </c>
      <c r="F25" s="2" t="s">
        <v>23</v>
      </c>
      <c r="G25" s="2" t="s">
        <v>230</v>
      </c>
      <c r="H25" s="2" t="s">
        <v>172</v>
      </c>
      <c r="I25" s="2" t="s">
        <v>33</v>
      </c>
      <c r="J25" s="2" t="s">
        <v>35</v>
      </c>
      <c r="K25" s="11" t="s">
        <v>173</v>
      </c>
    </row>
    <row r="26">
      <c r="A26" s="6">
        <v>1835.0</v>
      </c>
      <c r="B26" s="6">
        <v>10.0</v>
      </c>
      <c r="C26" s="2" t="s">
        <v>233</v>
      </c>
      <c r="D26" s="2" t="s">
        <v>95</v>
      </c>
      <c r="E26" s="6">
        <v>4500.0</v>
      </c>
      <c r="F26" s="14" t="s">
        <v>23</v>
      </c>
      <c r="G26" s="2" t="s">
        <v>234</v>
      </c>
      <c r="H26" s="2" t="s">
        <v>235</v>
      </c>
      <c r="I26" s="2" t="s">
        <v>46</v>
      </c>
      <c r="J26" s="2"/>
      <c r="K26" s="11" t="s">
        <v>237</v>
      </c>
    </row>
    <row r="27">
      <c r="A27" s="6">
        <v>537.0</v>
      </c>
      <c r="B27" s="6">
        <v>11.0</v>
      </c>
      <c r="C27" s="2" t="s">
        <v>240</v>
      </c>
      <c r="D27" s="2" t="s">
        <v>242</v>
      </c>
      <c r="E27" s="6">
        <v>2200.0</v>
      </c>
      <c r="F27" s="2" t="s">
        <v>55</v>
      </c>
      <c r="G27" s="2" t="s">
        <v>224</v>
      </c>
      <c r="H27" s="2" t="s">
        <v>224</v>
      </c>
      <c r="I27" s="2" t="s">
        <v>46</v>
      </c>
      <c r="J27" s="2"/>
      <c r="K27" s="11" t="s">
        <v>245</v>
      </c>
    </row>
    <row r="28">
      <c r="A28" s="6">
        <v>549.0</v>
      </c>
      <c r="B28" s="6">
        <v>11.0</v>
      </c>
      <c r="C28" s="2" t="s">
        <v>248</v>
      </c>
      <c r="D28" s="2" t="s">
        <v>80</v>
      </c>
      <c r="E28" s="6">
        <v>3300.0</v>
      </c>
      <c r="F28" s="2" t="s">
        <v>55</v>
      </c>
      <c r="G28" s="2" t="s">
        <v>249</v>
      </c>
      <c r="H28" s="2" t="s">
        <v>68</v>
      </c>
      <c r="I28" s="2" t="s">
        <v>33</v>
      </c>
      <c r="J28" s="2"/>
      <c r="K28" s="11" t="s">
        <v>250</v>
      </c>
    </row>
    <row r="29">
      <c r="A29" s="6">
        <v>2850.0</v>
      </c>
      <c r="B29" s="6">
        <v>12.0</v>
      </c>
      <c r="C29" s="2" t="s">
        <v>252</v>
      </c>
      <c r="D29" s="2" t="s">
        <v>253</v>
      </c>
      <c r="E29" s="6">
        <v>3500.0</v>
      </c>
      <c r="F29" s="2" t="s">
        <v>23</v>
      </c>
      <c r="G29" s="2" t="s">
        <v>255</v>
      </c>
      <c r="H29" s="8"/>
      <c r="I29" s="2" t="s">
        <v>33</v>
      </c>
      <c r="J29" s="2"/>
      <c r="K29" s="11" t="s">
        <v>257</v>
      </c>
    </row>
    <row r="30">
      <c r="A30" s="6">
        <v>2860.0</v>
      </c>
      <c r="B30" s="6">
        <v>12.0</v>
      </c>
      <c r="C30" s="2" t="s">
        <v>261</v>
      </c>
      <c r="D30" s="2" t="s">
        <v>262</v>
      </c>
      <c r="E30" s="6">
        <v>4500.0</v>
      </c>
      <c r="F30" s="2" t="s">
        <v>23</v>
      </c>
      <c r="G30" s="2" t="s">
        <v>184</v>
      </c>
      <c r="H30" s="2" t="s">
        <v>263</v>
      </c>
      <c r="I30" s="2" t="s">
        <v>46</v>
      </c>
      <c r="J30" s="2"/>
      <c r="K30" s="11" t="s">
        <v>264</v>
      </c>
    </row>
    <row r="31">
      <c r="A31" s="6">
        <v>443.0</v>
      </c>
      <c r="B31" s="6">
        <v>13.0</v>
      </c>
      <c r="C31" s="2" t="s">
        <v>79</v>
      </c>
      <c r="D31" s="2" t="s">
        <v>80</v>
      </c>
      <c r="E31" s="6">
        <v>4000.0</v>
      </c>
      <c r="F31" s="2" t="s">
        <v>23</v>
      </c>
      <c r="G31" s="2" t="s">
        <v>81</v>
      </c>
      <c r="H31" s="2" t="s">
        <v>68</v>
      </c>
      <c r="I31" s="2" t="s">
        <v>33</v>
      </c>
      <c r="J31" s="2"/>
      <c r="K31" s="11" t="s">
        <v>82</v>
      </c>
    </row>
    <row r="32">
      <c r="A32" s="6">
        <v>523.0</v>
      </c>
      <c r="B32" s="6">
        <v>13.0</v>
      </c>
      <c r="C32" s="2" t="s">
        <v>212</v>
      </c>
      <c r="D32" s="2" t="s">
        <v>76</v>
      </c>
      <c r="E32" s="6">
        <v>3400.0</v>
      </c>
      <c r="F32" s="2" t="s">
        <v>55</v>
      </c>
      <c r="G32" s="2" t="s">
        <v>213</v>
      </c>
      <c r="H32" s="2" t="s">
        <v>272</v>
      </c>
      <c r="I32" s="2" t="s">
        <v>46</v>
      </c>
      <c r="J32" s="2"/>
      <c r="K32" s="11" t="s">
        <v>214</v>
      </c>
    </row>
    <row r="33">
      <c r="A33" s="6">
        <v>494.0</v>
      </c>
      <c r="B33" s="6">
        <v>14.0</v>
      </c>
      <c r="C33" s="2" t="s">
        <v>109</v>
      </c>
      <c r="D33" s="2" t="s">
        <v>42</v>
      </c>
      <c r="E33" s="6">
        <v>10000.0</v>
      </c>
      <c r="F33" s="2" t="s">
        <v>23</v>
      </c>
      <c r="G33" s="2" t="s">
        <v>277</v>
      </c>
      <c r="H33" s="2" t="s">
        <v>278</v>
      </c>
      <c r="I33" s="2" t="s">
        <v>33</v>
      </c>
      <c r="J33" s="2" t="s">
        <v>279</v>
      </c>
      <c r="K33" s="11" t="s">
        <v>111</v>
      </c>
    </row>
    <row r="34">
      <c r="A34" s="6">
        <v>520.0</v>
      </c>
      <c r="B34" s="6">
        <v>14.0</v>
      </c>
      <c r="C34" s="2" t="s">
        <v>202</v>
      </c>
      <c r="D34" s="2" t="s">
        <v>42</v>
      </c>
      <c r="E34" s="6">
        <v>2500.0</v>
      </c>
      <c r="F34" s="2" t="s">
        <v>127</v>
      </c>
      <c r="G34" s="8" t="s">
        <v>203</v>
      </c>
      <c r="H34" s="8"/>
      <c r="I34" s="2" t="s">
        <v>46</v>
      </c>
      <c r="J34" s="2"/>
      <c r="K34" s="11" t="s">
        <v>204</v>
      </c>
    </row>
    <row r="35">
      <c r="A35" s="6">
        <v>540.0</v>
      </c>
      <c r="B35" s="6">
        <v>15.0</v>
      </c>
      <c r="C35" s="2" t="s">
        <v>254</v>
      </c>
      <c r="D35" s="2" t="s">
        <v>66</v>
      </c>
      <c r="E35" s="6">
        <v>1700.0</v>
      </c>
      <c r="F35" s="2" t="s">
        <v>55</v>
      </c>
      <c r="G35" s="8" t="s">
        <v>258</v>
      </c>
      <c r="H35" s="2" t="s">
        <v>44</v>
      </c>
      <c r="I35" s="2" t="s">
        <v>46</v>
      </c>
      <c r="J35" s="2"/>
      <c r="K35" s="11" t="s">
        <v>267</v>
      </c>
    </row>
    <row r="36">
      <c r="A36" s="6">
        <v>2853.0</v>
      </c>
      <c r="B36" s="6">
        <v>15.0</v>
      </c>
      <c r="C36" s="2" t="s">
        <v>288</v>
      </c>
      <c r="D36" s="2" t="s">
        <v>253</v>
      </c>
      <c r="E36" s="6">
        <v>7500.0</v>
      </c>
      <c r="F36" s="2" t="s">
        <v>23</v>
      </c>
      <c r="G36" s="2" t="s">
        <v>290</v>
      </c>
      <c r="H36" s="2" t="s">
        <v>291</v>
      </c>
      <c r="I36" s="2" t="s">
        <v>33</v>
      </c>
      <c r="J36" s="2" t="s">
        <v>279</v>
      </c>
      <c r="K36" s="11" t="s">
        <v>292</v>
      </c>
    </row>
    <row r="37">
      <c r="A37" s="6">
        <v>2396.0</v>
      </c>
      <c r="B37" s="6">
        <v>16.0</v>
      </c>
      <c r="C37" s="2" t="s">
        <v>294</v>
      </c>
      <c r="D37" s="2" t="s">
        <v>161</v>
      </c>
      <c r="E37" s="6">
        <v>2200.0</v>
      </c>
      <c r="F37" s="14" t="s">
        <v>23</v>
      </c>
      <c r="G37" s="2" t="s">
        <v>162</v>
      </c>
      <c r="H37" s="2" t="s">
        <v>44</v>
      </c>
      <c r="I37" s="2" t="s">
        <v>46</v>
      </c>
      <c r="J37" s="2"/>
      <c r="K37" s="11" t="s">
        <v>295</v>
      </c>
    </row>
    <row r="38">
      <c r="A38" s="6">
        <v>2520.0</v>
      </c>
      <c r="B38" s="6">
        <v>16.0</v>
      </c>
      <c r="C38" s="2" t="s">
        <v>297</v>
      </c>
      <c r="D38" s="2" t="s">
        <v>298</v>
      </c>
      <c r="E38" s="6">
        <v>5500.0</v>
      </c>
      <c r="F38" s="14" t="s">
        <v>23</v>
      </c>
      <c r="G38" s="2" t="s">
        <v>300</v>
      </c>
      <c r="H38" s="2" t="s">
        <v>44</v>
      </c>
      <c r="I38" s="2" t="s">
        <v>33</v>
      </c>
      <c r="J38" s="2"/>
      <c r="K38" s="11" t="s">
        <v>302</v>
      </c>
    </row>
    <row r="39">
      <c r="A39" s="6">
        <v>1907.0</v>
      </c>
      <c r="B39" s="6">
        <v>17.0</v>
      </c>
      <c r="C39" s="2" t="s">
        <v>305</v>
      </c>
      <c r="D39" s="2" t="s">
        <v>243</v>
      </c>
      <c r="E39" s="6">
        <v>6000.0</v>
      </c>
      <c r="F39" s="14" t="s">
        <v>127</v>
      </c>
      <c r="G39" s="2" t="s">
        <v>306</v>
      </c>
      <c r="H39" s="2" t="s">
        <v>185</v>
      </c>
      <c r="I39" s="2" t="s">
        <v>46</v>
      </c>
      <c r="J39" s="2"/>
      <c r="K39" s="11" t="s">
        <v>307</v>
      </c>
    </row>
    <row r="40">
      <c r="A40" s="21"/>
      <c r="B40" s="22">
        <v>17.0</v>
      </c>
      <c r="C40" s="21" t="s">
        <v>314</v>
      </c>
      <c r="D40" s="22" t="s">
        <v>154</v>
      </c>
      <c r="E40" s="21">
        <v>3500.0</v>
      </c>
      <c r="F40" s="23" t="s">
        <v>23</v>
      </c>
      <c r="G40" s="21" t="s">
        <v>316</v>
      </c>
      <c r="H40" s="21" t="s">
        <v>44</v>
      </c>
      <c r="I40" s="21" t="s">
        <v>33</v>
      </c>
      <c r="J40" s="21"/>
      <c r="K40" s="22"/>
    </row>
    <row r="41">
      <c r="A41" s="6">
        <v>1931.0</v>
      </c>
      <c r="B41" s="6">
        <v>18.0</v>
      </c>
      <c r="C41" s="2" t="s">
        <v>317</v>
      </c>
      <c r="D41" s="2" t="s">
        <v>318</v>
      </c>
      <c r="E41" s="6">
        <v>4500.0</v>
      </c>
      <c r="F41" s="14" t="s">
        <v>23</v>
      </c>
      <c r="G41" s="2" t="s">
        <v>319</v>
      </c>
      <c r="H41" s="8"/>
      <c r="I41" s="2" t="s">
        <v>33</v>
      </c>
      <c r="J41" s="2"/>
      <c r="K41" s="11" t="s">
        <v>321</v>
      </c>
    </row>
    <row r="42">
      <c r="A42" s="6">
        <v>2409.0</v>
      </c>
      <c r="B42" s="6">
        <v>18.0</v>
      </c>
      <c r="C42" s="2" t="s">
        <v>322</v>
      </c>
      <c r="D42" s="2" t="s">
        <v>57</v>
      </c>
      <c r="E42" s="6">
        <v>1400.0</v>
      </c>
      <c r="F42" s="14" t="s">
        <v>23</v>
      </c>
      <c r="G42" s="2" t="s">
        <v>324</v>
      </c>
      <c r="H42" s="2" t="s">
        <v>68</v>
      </c>
      <c r="I42" s="2" t="s">
        <v>46</v>
      </c>
      <c r="J42" s="2"/>
      <c r="K42" s="11" t="s">
        <v>328</v>
      </c>
    </row>
    <row r="43">
      <c r="A43" s="6">
        <v>2425.0</v>
      </c>
      <c r="B43" s="6">
        <v>19.0</v>
      </c>
      <c r="C43" s="2" t="s">
        <v>332</v>
      </c>
      <c r="D43" s="2" t="s">
        <v>242</v>
      </c>
      <c r="E43" s="6">
        <v>1500.0</v>
      </c>
      <c r="F43" s="14" t="s">
        <v>23</v>
      </c>
      <c r="G43" s="2" t="s">
        <v>333</v>
      </c>
      <c r="H43" s="2" t="s">
        <v>334</v>
      </c>
      <c r="I43" s="2" t="s">
        <v>33</v>
      </c>
      <c r="J43" s="2"/>
      <c r="K43" s="11" t="s">
        <v>337</v>
      </c>
    </row>
    <row r="44">
      <c r="A44" s="6">
        <v>2838.0</v>
      </c>
      <c r="B44" s="6">
        <v>19.0</v>
      </c>
      <c r="C44" s="2" t="s">
        <v>102</v>
      </c>
      <c r="D44" s="2" t="s">
        <v>105</v>
      </c>
      <c r="E44" s="6">
        <v>750.0</v>
      </c>
      <c r="F44" s="2" t="s">
        <v>23</v>
      </c>
      <c r="G44" s="2" t="s">
        <v>106</v>
      </c>
      <c r="H44" s="2" t="s">
        <v>339</v>
      </c>
      <c r="I44" s="2" t="s">
        <v>46</v>
      </c>
      <c r="J44" s="2"/>
      <c r="K44" s="11" t="s">
        <v>340</v>
      </c>
    </row>
    <row r="45">
      <c r="A45" s="6">
        <v>534.0</v>
      </c>
      <c r="B45" s="6">
        <v>20.0</v>
      </c>
      <c r="C45" s="2" t="s">
        <v>241</v>
      </c>
      <c r="D45" s="2" t="s">
        <v>243</v>
      </c>
      <c r="E45" s="6">
        <v>600.0</v>
      </c>
      <c r="F45" s="2" t="s">
        <v>55</v>
      </c>
      <c r="G45" s="2" t="s">
        <v>344</v>
      </c>
      <c r="H45" s="2" t="s">
        <v>44</v>
      </c>
      <c r="I45" s="2" t="s">
        <v>46</v>
      </c>
      <c r="J45" s="2"/>
      <c r="K45" s="11" t="s">
        <v>244</v>
      </c>
    </row>
    <row r="46">
      <c r="A46" s="6">
        <v>564.0</v>
      </c>
      <c r="B46" s="6">
        <v>20.0</v>
      </c>
      <c r="C46" s="2" t="s">
        <v>323</v>
      </c>
      <c r="D46" s="2" t="s">
        <v>80</v>
      </c>
      <c r="E46" s="6">
        <v>2500.0</v>
      </c>
      <c r="F46" s="2" t="s">
        <v>23</v>
      </c>
      <c r="G46" s="2" t="s">
        <v>347</v>
      </c>
      <c r="H46" s="2" t="s">
        <v>348</v>
      </c>
      <c r="I46" s="2" t="s">
        <v>33</v>
      </c>
      <c r="J46" s="2"/>
      <c r="K46" s="11" t="s">
        <v>326</v>
      </c>
    </row>
    <row r="47">
      <c r="A47" s="6">
        <v>503.0</v>
      </c>
      <c r="B47" s="6">
        <v>21.0</v>
      </c>
      <c r="C47" s="2" t="s">
        <v>122</v>
      </c>
      <c r="D47" s="2" t="s">
        <v>123</v>
      </c>
      <c r="E47" s="6">
        <v>7000.0</v>
      </c>
      <c r="F47" s="2" t="s">
        <v>125</v>
      </c>
      <c r="G47" s="2" t="s">
        <v>351</v>
      </c>
      <c r="H47" s="2" t="s">
        <v>126</v>
      </c>
      <c r="I47" s="2" t="s">
        <v>33</v>
      </c>
      <c r="J47" s="2" t="s">
        <v>158</v>
      </c>
      <c r="K47" s="11" t="s">
        <v>129</v>
      </c>
    </row>
    <row r="48">
      <c r="A48" s="6">
        <v>527.0</v>
      </c>
      <c r="B48" s="6">
        <v>21.0</v>
      </c>
      <c r="C48" s="2" t="s">
        <v>221</v>
      </c>
      <c r="D48" s="2" t="s">
        <v>76</v>
      </c>
      <c r="E48" s="6">
        <v>2000.0</v>
      </c>
      <c r="F48" s="2" t="s">
        <v>55</v>
      </c>
      <c r="G48" s="2" t="s">
        <v>356</v>
      </c>
      <c r="H48" s="2" t="s">
        <v>44</v>
      </c>
      <c r="I48" s="2" t="s">
        <v>46</v>
      </c>
      <c r="J48" s="2"/>
      <c r="K48" s="11" t="s">
        <v>226</v>
      </c>
    </row>
    <row r="49">
      <c r="A49" s="6">
        <v>2345.0</v>
      </c>
      <c r="B49" s="6">
        <v>22.0</v>
      </c>
      <c r="C49" s="2" t="s">
        <v>360</v>
      </c>
      <c r="D49" s="2" t="s">
        <v>242</v>
      </c>
      <c r="E49" s="6">
        <v>3500.0</v>
      </c>
      <c r="F49" s="14" t="s">
        <v>23</v>
      </c>
      <c r="G49" s="2" t="s">
        <v>361</v>
      </c>
      <c r="H49" s="2" t="s">
        <v>362</v>
      </c>
      <c r="I49" s="2" t="s">
        <v>33</v>
      </c>
      <c r="J49" s="2"/>
      <c r="K49" s="11" t="s">
        <v>363</v>
      </c>
    </row>
    <row r="50">
      <c r="A50" s="6">
        <v>2366.0</v>
      </c>
      <c r="B50" s="6">
        <v>22.0</v>
      </c>
      <c r="C50" s="2" t="s">
        <v>366</v>
      </c>
      <c r="D50" s="2" t="s">
        <v>367</v>
      </c>
      <c r="E50" s="6">
        <v>3200.0</v>
      </c>
      <c r="F50" s="14" t="s">
        <v>369</v>
      </c>
      <c r="G50" s="2" t="s">
        <v>162</v>
      </c>
      <c r="H50" s="8"/>
      <c r="I50" s="2" t="s">
        <v>46</v>
      </c>
      <c r="J50" s="2"/>
      <c r="K50" s="11" t="s">
        <v>371</v>
      </c>
    </row>
    <row r="51">
      <c r="A51" s="6">
        <v>2384.0</v>
      </c>
      <c r="B51" s="6">
        <v>23.0</v>
      </c>
      <c r="C51" s="2" t="s">
        <v>310</v>
      </c>
      <c r="D51" s="2" t="s">
        <v>76</v>
      </c>
      <c r="E51" s="6">
        <v>550.0</v>
      </c>
      <c r="F51" s="14" t="s">
        <v>23</v>
      </c>
      <c r="G51" s="2" t="s">
        <v>312</v>
      </c>
      <c r="H51" s="2" t="s">
        <v>312</v>
      </c>
      <c r="I51" s="2" t="s">
        <v>33</v>
      </c>
      <c r="J51" s="2"/>
      <c r="K51" s="11" t="s">
        <v>375</v>
      </c>
    </row>
    <row r="52">
      <c r="A52" s="6">
        <v>558.0</v>
      </c>
      <c r="B52" s="6">
        <v>24.0</v>
      </c>
      <c r="C52" s="2" t="s">
        <v>183</v>
      </c>
      <c r="D52" s="2" t="s">
        <v>154</v>
      </c>
      <c r="E52" s="6">
        <v>5000.0</v>
      </c>
      <c r="F52" s="2" t="s">
        <v>55</v>
      </c>
      <c r="G52" s="8" t="s">
        <v>189</v>
      </c>
      <c r="H52" s="2" t="s">
        <v>190</v>
      </c>
      <c r="I52" s="2" t="s">
        <v>33</v>
      </c>
      <c r="J52" s="2"/>
      <c r="K52" s="11" t="s">
        <v>308</v>
      </c>
    </row>
    <row r="53">
      <c r="B53" s="10" t="s">
        <v>378</v>
      </c>
      <c r="C53" s="10" t="s">
        <v>379</v>
      </c>
      <c r="D53" s="10" t="s">
        <v>380</v>
      </c>
      <c r="E53" s="10">
        <v>1400.0</v>
      </c>
      <c r="F53" s="10" t="s">
        <v>23</v>
      </c>
      <c r="G53" s="10" t="s">
        <v>381</v>
      </c>
      <c r="H53" s="10" t="s">
        <v>382</v>
      </c>
      <c r="I53" s="10" t="s">
        <v>46</v>
      </c>
      <c r="J53" s="10"/>
      <c r="K53" s="10" t="s">
        <v>384</v>
      </c>
    </row>
    <row r="54">
      <c r="B54" s="10" t="s">
        <v>386</v>
      </c>
      <c r="C54" s="10" t="s">
        <v>387</v>
      </c>
      <c r="D54" s="10" t="s">
        <v>42</v>
      </c>
      <c r="E54" s="10">
        <v>2500.0</v>
      </c>
      <c r="F54" s="10" t="s">
        <v>23</v>
      </c>
      <c r="G54" s="10" t="s">
        <v>388</v>
      </c>
      <c r="H54" s="10" t="s">
        <v>382</v>
      </c>
      <c r="I54" s="10" t="s">
        <v>46</v>
      </c>
      <c r="J54" s="10"/>
      <c r="K54" s="10" t="s">
        <v>390</v>
      </c>
    </row>
    <row r="55">
      <c r="A55" s="19"/>
      <c r="B55" s="18" t="s">
        <v>386</v>
      </c>
      <c r="C55" s="18" t="s">
        <v>391</v>
      </c>
      <c r="D55" s="18" t="s">
        <v>123</v>
      </c>
      <c r="E55" s="18">
        <v>1800.0</v>
      </c>
      <c r="F55" s="18" t="s">
        <v>23</v>
      </c>
      <c r="G55" s="18" t="s">
        <v>392</v>
      </c>
      <c r="H55" s="18" t="s">
        <v>392</v>
      </c>
      <c r="I55" s="18" t="s">
        <v>46</v>
      </c>
      <c r="J55" s="18"/>
      <c r="K55" s="18" t="s">
        <v>199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>
      <c r="C56" s="26" t="s">
        <v>395</v>
      </c>
      <c r="I56" s="9"/>
      <c r="J56" s="9"/>
    </row>
    <row r="57">
      <c r="C57" s="26" t="s">
        <v>396</v>
      </c>
      <c r="I57" s="9"/>
      <c r="J57" s="9"/>
    </row>
    <row r="58">
      <c r="C58" s="26" t="s">
        <v>398</v>
      </c>
      <c r="I58" s="9"/>
      <c r="J58" s="9"/>
    </row>
    <row r="59">
      <c r="C59" s="26" t="s">
        <v>400</v>
      </c>
      <c r="I59" s="9"/>
      <c r="J59" s="9"/>
    </row>
    <row r="60">
      <c r="C60" s="26" t="s">
        <v>401</v>
      </c>
      <c r="I60" s="9"/>
      <c r="J60" s="9"/>
    </row>
    <row r="61">
      <c r="C61" s="28" t="s">
        <v>402</v>
      </c>
      <c r="I61" s="9"/>
      <c r="J61" s="9"/>
    </row>
    <row r="62">
      <c r="C62" s="26" t="s">
        <v>403</v>
      </c>
      <c r="I62" s="9"/>
      <c r="J62" s="9"/>
    </row>
    <row r="63">
      <c r="A63" s="13" t="s">
        <v>404</v>
      </c>
    </row>
  </sheetData>
  <autoFilter ref="$A$1:$Y$1000">
    <sortState ref="A1:Y1000">
      <sortCondition ref="B1:B1000"/>
      <sortCondition ref="A1:A1000"/>
    </sortState>
  </autoFilter>
  <dataValidations>
    <dataValidation type="list" allowBlank="1" showErrorMessage="1" sqref="J2:J62">
      <formula1>"Restaurant,Retail,Office (mixed use),Nightlife/ Bar/ Lounge?,Townhouse,Condo"</formula1>
    </dataValidation>
    <dataValidation type="list" allowBlank="1" showErrorMessage="1" sqref="I2:I62">
      <formula1>"Commercial,Residential"</formula1>
    </dataValidation>
  </dataValidations>
  <hyperlinks>
    <hyperlink r:id="rId1" ref="K2"/>
    <hyperlink r:id="rId2" ref="K3"/>
    <hyperlink r:id="rId3" ref="K5"/>
    <hyperlink r:id="rId4" ref="K6"/>
    <hyperlink r:id="rId5" ref="K7"/>
    <hyperlink r:id="rId6" ref="K8"/>
    <hyperlink r:id="rId7" ref="K10"/>
    <hyperlink r:id="rId8" ref="K11"/>
    <hyperlink r:id="rId9" ref="K13"/>
    <hyperlink r:id="rId10" ref="K14"/>
    <hyperlink r:id="rId11" ref="K16"/>
    <hyperlink r:id="rId12" ref="K17"/>
    <hyperlink r:id="rId13" ref="K18"/>
    <hyperlink r:id="rId14" ref="K19"/>
    <hyperlink r:id="rId15" ref="K21"/>
    <hyperlink r:id="rId16" ref="K22"/>
    <hyperlink r:id="rId17" ref="K23"/>
    <hyperlink r:id="rId18" ref="K24"/>
    <hyperlink r:id="rId19" ref="K25"/>
    <hyperlink r:id="rId20" ref="K26"/>
    <hyperlink r:id="rId21" ref="K27"/>
    <hyperlink r:id="rId22" ref="K28"/>
    <hyperlink r:id="rId23" ref="K29"/>
    <hyperlink r:id="rId24" ref="K30"/>
    <hyperlink r:id="rId25" ref="K31"/>
    <hyperlink r:id="rId26" ref="K32"/>
    <hyperlink r:id="rId27" ref="K33"/>
    <hyperlink r:id="rId28" ref="K34"/>
    <hyperlink r:id="rId29" ref="K35"/>
    <hyperlink r:id="rId30" ref="K36"/>
    <hyperlink r:id="rId31" ref="K37"/>
    <hyperlink r:id="rId32" ref="K38"/>
    <hyperlink r:id="rId33" ref="K39"/>
    <hyperlink r:id="rId34" ref="K41"/>
    <hyperlink r:id="rId35" ref="K42"/>
    <hyperlink r:id="rId36" ref="K43"/>
    <hyperlink r:id="rId37" ref="K44"/>
    <hyperlink r:id="rId38" ref="K45"/>
    <hyperlink r:id="rId39" ref="K46"/>
    <hyperlink r:id="rId40" ref="K47"/>
    <hyperlink r:id="rId41" ref="K48"/>
    <hyperlink r:id="rId42" ref="K49"/>
    <hyperlink r:id="rId43" ref="K50"/>
    <hyperlink r:id="rId44" ref="K51"/>
    <hyperlink r:id="rId45" ref="K52"/>
    <hyperlink r:id="rId46" ref="A63"/>
  </hyperlinks>
  <drawing r:id="rId4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34.43"/>
    <col customWidth="1" min="5" max="5" width="24.57"/>
    <col customWidth="1" min="7" max="7" width="29.29"/>
    <col customWidth="1" hidden="1" min="8" max="8" width="29.29"/>
    <col customWidth="1" min="9" max="9" width="51.71"/>
    <col customWidth="1" hidden="1" min="10" max="10" width="39.57"/>
    <col customWidth="1" min="11" max="11" width="39.57"/>
    <col customWidth="1" hidden="1" min="12" max="12" width="39.57"/>
    <col customWidth="1" min="14" max="14" width="78.14"/>
    <col customWidth="1" min="15" max="15" width="37.29"/>
    <col customWidth="1" min="16" max="16" width="35.71"/>
  </cols>
  <sheetData>
    <row r="1">
      <c r="A1" s="2" t="s">
        <v>0</v>
      </c>
      <c r="B1" s="2" t="s">
        <v>4</v>
      </c>
      <c r="C1" s="2" t="s">
        <v>5</v>
      </c>
      <c r="D1" s="4" t="s">
        <v>0</v>
      </c>
      <c r="E1" s="2" t="s">
        <v>7</v>
      </c>
      <c r="F1" s="2" t="s">
        <v>8</v>
      </c>
      <c r="G1" s="2" t="s">
        <v>9</v>
      </c>
      <c r="H1" s="4" t="s">
        <v>10</v>
      </c>
      <c r="I1" s="2" t="s">
        <v>12</v>
      </c>
      <c r="J1" s="4" t="s">
        <v>13</v>
      </c>
      <c r="K1" s="2" t="s">
        <v>14</v>
      </c>
      <c r="L1" s="4" t="s">
        <v>15</v>
      </c>
      <c r="M1" s="2" t="s">
        <v>16</v>
      </c>
      <c r="N1" s="2" t="s">
        <v>17</v>
      </c>
      <c r="O1" s="2" t="s">
        <v>18</v>
      </c>
      <c r="P1" s="2" t="s">
        <v>19</v>
      </c>
    </row>
    <row r="2">
      <c r="A2" s="6">
        <v>439.0</v>
      </c>
      <c r="B2" s="6">
        <v>1.0</v>
      </c>
      <c r="C2" s="2" t="s">
        <v>21</v>
      </c>
      <c r="D2" s="6">
        <v>439.0</v>
      </c>
      <c r="E2" s="2" t="s">
        <v>22</v>
      </c>
      <c r="F2" s="6">
        <v>10500.0</v>
      </c>
      <c r="G2" s="2" t="s">
        <v>23</v>
      </c>
      <c r="H2" s="2" t="str">
        <f>VLOOKUP(A2, 'Old Worksheet'!B:H,7, false)</f>
        <v>#N/A</v>
      </c>
      <c r="I2" s="2" t="s">
        <v>31</v>
      </c>
      <c r="J2" s="8" t="str">
        <f>VLOOKUP(A2, 'Old Worksheet'!B:I,8,false)</f>
        <v>#N/A</v>
      </c>
      <c r="K2" s="8"/>
      <c r="L2" s="2" t="str">
        <f>VLOOKUP(A2, 'Old Worksheet'!B:J,9,false)</f>
        <v>#N/A</v>
      </c>
      <c r="M2" s="2" t="s">
        <v>33</v>
      </c>
      <c r="N2" s="11" t="s">
        <v>36</v>
      </c>
      <c r="O2" s="11" t="s">
        <v>49</v>
      </c>
      <c r="P2" s="2" t="s">
        <v>56</v>
      </c>
    </row>
    <row r="3">
      <c r="A3" s="6">
        <v>552.0</v>
      </c>
      <c r="B3" s="6">
        <v>1.0</v>
      </c>
      <c r="C3" s="2" t="s">
        <v>41</v>
      </c>
      <c r="D3" s="6">
        <v>552.0</v>
      </c>
      <c r="E3" s="2" t="s">
        <v>42</v>
      </c>
      <c r="F3" s="6">
        <v>4000.0</v>
      </c>
      <c r="G3" s="2" t="s">
        <v>23</v>
      </c>
      <c r="H3" s="2" t="str">
        <f>VLOOKUP(A3, 'Old Worksheet'!B:H,7, false)</f>
        <v>#N/A</v>
      </c>
      <c r="I3" s="2" t="s">
        <v>43</v>
      </c>
      <c r="J3" s="8" t="str">
        <f>VLOOKUP(A3, 'Old Worksheet'!B:I,8,false)</f>
        <v>#N/A</v>
      </c>
      <c r="K3" s="2" t="s">
        <v>44</v>
      </c>
      <c r="L3" s="2" t="str">
        <f>VLOOKUP(A3, 'Old Worksheet'!B:J,9,false)</f>
        <v>#N/A</v>
      </c>
      <c r="M3" s="2" t="s">
        <v>46</v>
      </c>
      <c r="N3" s="11" t="s">
        <v>48</v>
      </c>
      <c r="O3" s="11" t="s">
        <v>71</v>
      </c>
      <c r="P3" s="2" t="s">
        <v>78</v>
      </c>
    </row>
    <row r="4">
      <c r="A4" s="6">
        <v>436.0</v>
      </c>
      <c r="B4" s="6">
        <v>2.0</v>
      </c>
      <c r="C4" s="2" t="s">
        <v>52</v>
      </c>
      <c r="D4" s="6">
        <v>436.0</v>
      </c>
      <c r="E4" s="2" t="s">
        <v>53</v>
      </c>
      <c r="F4" s="6">
        <v>12500.0</v>
      </c>
      <c r="G4" s="2" t="s">
        <v>55</v>
      </c>
      <c r="H4" s="2" t="str">
        <f>VLOOKUP(A4, 'Old Worksheet'!B:H,7, false)</f>
        <v>#N/A</v>
      </c>
      <c r="I4" s="2" t="s">
        <v>58</v>
      </c>
      <c r="J4" s="8" t="str">
        <f>VLOOKUP(A4, 'Old Worksheet'!B:I,8,false)</f>
        <v>#N/A</v>
      </c>
      <c r="K4" s="2" t="s">
        <v>60</v>
      </c>
      <c r="L4" s="2" t="str">
        <f>VLOOKUP(A4, 'Old Worksheet'!B:J,9,false)</f>
        <v>#N/A</v>
      </c>
      <c r="M4" s="2" t="s">
        <v>33</v>
      </c>
      <c r="N4" s="11" t="s">
        <v>62</v>
      </c>
      <c r="O4" s="11" t="s">
        <v>64</v>
      </c>
      <c r="P4" s="2" t="s">
        <v>70</v>
      </c>
    </row>
    <row r="5">
      <c r="A5" s="6">
        <v>2306.0</v>
      </c>
      <c r="B5" s="6">
        <v>2.0</v>
      </c>
      <c r="C5" s="2" t="s">
        <v>65</v>
      </c>
      <c r="D5" s="6">
        <v>2306.0</v>
      </c>
      <c r="E5" s="2" t="s">
        <v>66</v>
      </c>
      <c r="F5" s="6">
        <v>3800.0</v>
      </c>
      <c r="G5" s="14" t="s">
        <v>23</v>
      </c>
      <c r="H5" s="2" t="str">
        <f>VLOOKUP(A5, 'Old Worksheet'!B:H,7, false)</f>
        <v>#N/A</v>
      </c>
      <c r="I5" s="2" t="s">
        <v>67</v>
      </c>
      <c r="J5" s="8" t="str">
        <f>VLOOKUP(A5, 'Old Worksheet'!B:I,8,false)</f>
        <v>#N/A</v>
      </c>
      <c r="K5" s="2" t="s">
        <v>68</v>
      </c>
      <c r="L5" s="2" t="str">
        <f>VLOOKUP(A5, 'Old Worksheet'!B:J,9,false)</f>
        <v>#N/A</v>
      </c>
      <c r="M5" s="2" t="s">
        <v>46</v>
      </c>
      <c r="N5" s="11" t="s">
        <v>69</v>
      </c>
      <c r="O5" s="11" t="s">
        <v>132</v>
      </c>
      <c r="P5" s="2" t="s">
        <v>137</v>
      </c>
    </row>
    <row r="6">
      <c r="A6" s="6">
        <v>433.0</v>
      </c>
      <c r="B6" s="6">
        <v>3.0</v>
      </c>
      <c r="C6" s="2" t="s">
        <v>27</v>
      </c>
      <c r="D6" s="6">
        <v>433.0</v>
      </c>
      <c r="E6" s="2" t="s">
        <v>28</v>
      </c>
      <c r="F6" s="6">
        <v>22000.0</v>
      </c>
      <c r="G6" s="2" t="s">
        <v>29</v>
      </c>
      <c r="H6" s="2" t="str">
        <f>VLOOKUP(A6, 'Old Worksheet'!B:H,7, false)</f>
        <v>#N/A</v>
      </c>
      <c r="I6" s="2" t="s">
        <v>30</v>
      </c>
      <c r="J6" s="8" t="str">
        <f>VLOOKUP(A6, 'Old Worksheet'!B:I,8,false)</f>
        <v>#N/A</v>
      </c>
      <c r="K6" s="8"/>
      <c r="L6" s="2" t="str">
        <f>VLOOKUP(A6, 'Old Worksheet'!B:J,9,false)</f>
        <v>#N/A</v>
      </c>
      <c r="M6" s="2" t="s">
        <v>33</v>
      </c>
      <c r="N6" s="11" t="s">
        <v>34</v>
      </c>
      <c r="O6" s="11" t="s">
        <v>40</v>
      </c>
      <c r="P6" s="2" t="s">
        <v>51</v>
      </c>
    </row>
    <row r="7">
      <c r="A7" s="6">
        <v>570.0</v>
      </c>
      <c r="B7" s="6">
        <v>3.0</v>
      </c>
      <c r="C7" s="2" t="s">
        <v>83</v>
      </c>
      <c r="D7" s="6">
        <v>570.0</v>
      </c>
      <c r="E7" s="2" t="s">
        <v>57</v>
      </c>
      <c r="F7" s="6">
        <v>6000.0</v>
      </c>
      <c r="G7" s="2" t="s">
        <v>55</v>
      </c>
      <c r="H7" s="2" t="str">
        <f>VLOOKUP(A7, 'Old Worksheet'!B:H,7, false)</f>
        <v>#N/A</v>
      </c>
      <c r="I7" s="2" t="s">
        <v>86</v>
      </c>
      <c r="J7" s="8" t="str">
        <f>VLOOKUP(A7, 'Old Worksheet'!B:I,8,false)</f>
        <v>#N/A</v>
      </c>
      <c r="K7" s="8"/>
      <c r="L7" s="2" t="str">
        <f>VLOOKUP(A7, 'Old Worksheet'!B:J,9,false)</f>
        <v>#N/A</v>
      </c>
      <c r="M7" s="2" t="s">
        <v>46</v>
      </c>
      <c r="N7" s="11" t="s">
        <v>88</v>
      </c>
      <c r="O7" s="11" t="s">
        <v>193</v>
      </c>
      <c r="P7" s="2" t="s">
        <v>200</v>
      </c>
    </row>
    <row r="8">
      <c r="A8" s="6">
        <v>506.0</v>
      </c>
      <c r="B8" s="6">
        <v>4.0</v>
      </c>
      <c r="C8" s="2" t="s">
        <v>98</v>
      </c>
      <c r="D8" s="6">
        <v>506.0</v>
      </c>
      <c r="E8" s="2" t="s">
        <v>42</v>
      </c>
      <c r="F8" s="6">
        <v>15000.0</v>
      </c>
      <c r="G8" s="2" t="s">
        <v>23</v>
      </c>
      <c r="H8" s="2" t="str">
        <f>VLOOKUP(A8, 'Old Worksheet'!B:H,7, false)</f>
        <v>#N/A</v>
      </c>
      <c r="I8" s="2" t="s">
        <v>142</v>
      </c>
      <c r="J8" s="8" t="str">
        <f>VLOOKUP(A8, 'Old Worksheet'!B:I,8,false)</f>
        <v>#N/A</v>
      </c>
      <c r="K8" s="8"/>
      <c r="L8" s="2" t="str">
        <f>VLOOKUP(A8, 'Old Worksheet'!B:J,9,false)</f>
        <v>#N/A</v>
      </c>
      <c r="M8" s="2" t="s">
        <v>33</v>
      </c>
      <c r="N8" s="11" t="s">
        <v>103</v>
      </c>
      <c r="O8" s="11" t="s">
        <v>145</v>
      </c>
      <c r="P8" s="2" t="s">
        <v>149</v>
      </c>
    </row>
    <row r="9">
      <c r="A9" s="6">
        <v>531.0</v>
      </c>
      <c r="B9" s="6">
        <v>4.0</v>
      </c>
      <c r="C9" s="2" t="s">
        <v>112</v>
      </c>
      <c r="D9" s="6">
        <v>531.0</v>
      </c>
      <c r="E9" s="2" t="s">
        <v>80</v>
      </c>
      <c r="F9" s="6">
        <v>5500.0</v>
      </c>
      <c r="G9" s="2" t="s">
        <v>23</v>
      </c>
      <c r="H9" s="2" t="str">
        <f>VLOOKUP(A9, 'Old Worksheet'!B:H,7, false)</f>
        <v>General Contractor</v>
      </c>
      <c r="I9" s="2" t="s">
        <v>113</v>
      </c>
      <c r="J9" s="8" t="str">
        <f>VLOOKUP(A9, 'Old Worksheet'!B:I,8,false)</f>
        <v>Barlis Wedlick</v>
      </c>
      <c r="K9" s="2" t="s">
        <v>113</v>
      </c>
      <c r="L9" s="2" t="str">
        <f>VLOOKUP(A9, 'Old Worksheet'!B:J,9,false)</f>
        <v>Barlis Wedlick</v>
      </c>
      <c r="M9" s="2" t="s">
        <v>46</v>
      </c>
      <c r="N9" s="11" t="s">
        <v>114</v>
      </c>
      <c r="O9" s="11" t="s">
        <v>232</v>
      </c>
      <c r="P9" s="2" t="s">
        <v>236</v>
      </c>
    </row>
    <row r="10">
      <c r="A10" s="6">
        <v>517.0</v>
      </c>
      <c r="B10" s="6">
        <v>5.0</v>
      </c>
      <c r="C10" s="2" t="s">
        <v>124</v>
      </c>
      <c r="D10" s="6">
        <v>517.0</v>
      </c>
      <c r="E10" s="2" t="s">
        <v>42</v>
      </c>
      <c r="F10" s="6">
        <v>3500.0</v>
      </c>
      <c r="G10" s="2" t="s">
        <v>127</v>
      </c>
      <c r="H10" s="2" t="str">
        <f>VLOOKUP(A10, 'Old Worksheet'!B:H,7, false)</f>
        <v>#N/A</v>
      </c>
      <c r="I10" s="8" t="s">
        <v>188</v>
      </c>
      <c r="J10" s="8" t="str">
        <f>VLOOKUP(A10, 'Old Worksheet'!B:I,8,false)</f>
        <v>#N/A</v>
      </c>
      <c r="K10" s="8"/>
      <c r="L10" s="2" t="str">
        <f>VLOOKUP(A10, 'Old Worksheet'!B:J,9,false)</f>
        <v>#N/A</v>
      </c>
      <c r="M10" s="2" t="s">
        <v>46</v>
      </c>
      <c r="N10" s="11" t="s">
        <v>131</v>
      </c>
      <c r="O10" s="11" t="s">
        <v>194</v>
      </c>
      <c r="P10" s="2" t="s">
        <v>201</v>
      </c>
    </row>
    <row r="11">
      <c r="A11" s="6">
        <v>555.0</v>
      </c>
      <c r="B11" s="6">
        <v>5.0</v>
      </c>
      <c r="C11" s="2" t="s">
        <v>138</v>
      </c>
      <c r="D11" s="6">
        <v>555.0</v>
      </c>
      <c r="E11" s="2" t="s">
        <v>22</v>
      </c>
      <c r="F11" s="6">
        <v>36000.0</v>
      </c>
      <c r="G11" s="2" t="s">
        <v>139</v>
      </c>
      <c r="H11" s="2" t="str">
        <f>VLOOKUP(A11, 'Old Worksheet'!B:H,7, false)</f>
        <v>#N/A</v>
      </c>
      <c r="I11" s="8" t="s">
        <v>140</v>
      </c>
      <c r="J11" s="8" t="str">
        <f>VLOOKUP(A11, 'Old Worksheet'!B:I,8,false)</f>
        <v>#N/A</v>
      </c>
      <c r="K11" s="8"/>
      <c r="L11" s="2" t="str">
        <f>VLOOKUP(A11, 'Old Worksheet'!B:J,9,false)</f>
        <v>#N/A</v>
      </c>
      <c r="M11" s="2" t="s">
        <v>33</v>
      </c>
      <c r="N11" s="11" t="s">
        <v>144</v>
      </c>
      <c r="O11" s="11" t="s">
        <v>270</v>
      </c>
      <c r="P11" s="2" t="s">
        <v>274</v>
      </c>
    </row>
    <row r="12">
      <c r="A12" s="6">
        <v>561.0</v>
      </c>
      <c r="B12" s="6">
        <v>6.0</v>
      </c>
      <c r="C12" s="2" t="s">
        <v>153</v>
      </c>
      <c r="D12" s="6">
        <v>561.0</v>
      </c>
      <c r="E12" s="2" t="s">
        <v>154</v>
      </c>
      <c r="F12" s="6">
        <v>7500.0</v>
      </c>
      <c r="G12" s="2" t="s">
        <v>23</v>
      </c>
      <c r="H12" s="2" t="str">
        <f>VLOOKUP(A12, 'Old Worksheet'!B:H,7, false)</f>
        <v>#N/A</v>
      </c>
      <c r="I12" s="2" t="s">
        <v>156</v>
      </c>
      <c r="J12" s="8" t="str">
        <f>VLOOKUP(A12, 'Old Worksheet'!B:I,8,false)</f>
        <v>#N/A</v>
      </c>
      <c r="K12" s="8"/>
      <c r="L12" s="2" t="str">
        <f>VLOOKUP(A12, 'Old Worksheet'!B:J,9,false)</f>
        <v>#N/A</v>
      </c>
      <c r="M12" s="2" t="s">
        <v>33</v>
      </c>
      <c r="N12" s="11" t="s">
        <v>159</v>
      </c>
      <c r="O12" s="11" t="s">
        <v>283</v>
      </c>
      <c r="P12" s="2" t="s">
        <v>287</v>
      </c>
    </row>
    <row r="13">
      <c r="A13" s="6">
        <v>2842.0</v>
      </c>
      <c r="B13" s="6">
        <v>6.0</v>
      </c>
      <c r="C13" s="2" t="s">
        <v>165</v>
      </c>
      <c r="D13" s="6">
        <v>2842.0</v>
      </c>
      <c r="E13" s="2" t="s">
        <v>166</v>
      </c>
      <c r="F13" s="6">
        <v>2900.0</v>
      </c>
      <c r="G13" s="2" t="s">
        <v>23</v>
      </c>
      <c r="H13" s="2" t="str">
        <f>VLOOKUP(A13, 'Old Worksheet'!B:H,7, false)</f>
        <v>#N/A</v>
      </c>
      <c r="I13" s="2" t="s">
        <v>167</v>
      </c>
      <c r="J13" s="8" t="str">
        <f>VLOOKUP(A13, 'Old Worksheet'!B:I,8,false)</f>
        <v>#N/A</v>
      </c>
      <c r="K13" s="2" t="s">
        <v>68</v>
      </c>
      <c r="L13" s="2" t="str">
        <f>VLOOKUP(A13, 'Old Worksheet'!B:J,9,false)</f>
        <v>#N/A</v>
      </c>
      <c r="M13" s="2" t="s">
        <v>46</v>
      </c>
      <c r="N13" s="11" t="s">
        <v>168</v>
      </c>
      <c r="O13" s="11" t="s">
        <v>301</v>
      </c>
      <c r="P13" s="2" t="s">
        <v>303</v>
      </c>
    </row>
    <row r="14">
      <c r="A14" s="6">
        <v>546.0</v>
      </c>
      <c r="B14" s="6">
        <v>7.0</v>
      </c>
      <c r="C14" s="2" t="s">
        <v>175</v>
      </c>
      <c r="D14" s="6">
        <v>546.0</v>
      </c>
      <c r="E14" s="2" t="s">
        <v>176</v>
      </c>
      <c r="F14" s="6">
        <v>18000.0</v>
      </c>
      <c r="G14" s="2" t="s">
        <v>29</v>
      </c>
      <c r="H14" s="2" t="str">
        <f>VLOOKUP(A14, 'Old Worksheet'!B:H,7, false)</f>
        <v>#N/A</v>
      </c>
      <c r="I14" s="2" t="s">
        <v>177</v>
      </c>
      <c r="J14" s="8" t="str">
        <f>VLOOKUP(A14, 'Old Worksheet'!B:I,8,false)</f>
        <v>#N/A</v>
      </c>
      <c r="K14" s="8"/>
      <c r="L14" s="2" t="str">
        <f>VLOOKUP(A14, 'Old Worksheet'!B:J,9,false)</f>
        <v>#N/A</v>
      </c>
      <c r="M14" s="2" t="s">
        <v>33</v>
      </c>
      <c r="N14" s="11" t="s">
        <v>179</v>
      </c>
      <c r="O14" s="11" t="s">
        <v>280</v>
      </c>
      <c r="P14" s="2" t="s">
        <v>282</v>
      </c>
    </row>
    <row r="15">
      <c r="A15" s="6">
        <v>2847.0</v>
      </c>
      <c r="B15" s="6">
        <v>7.0</v>
      </c>
      <c r="C15" s="2" t="s">
        <v>181</v>
      </c>
      <c r="D15" s="6">
        <v>2847.0</v>
      </c>
      <c r="E15" s="2" t="s">
        <v>42</v>
      </c>
      <c r="F15" s="6">
        <v>2600.0</v>
      </c>
      <c r="G15" s="2" t="s">
        <v>23</v>
      </c>
      <c r="H15" s="2" t="str">
        <f>VLOOKUP(A15, 'Old Worksheet'!B:H,7, false)</f>
        <v>#N/A</v>
      </c>
      <c r="I15" s="2" t="s">
        <v>184</v>
      </c>
      <c r="J15" s="8" t="str">
        <f>VLOOKUP(A15, 'Old Worksheet'!B:I,8,false)</f>
        <v>#N/A</v>
      </c>
      <c r="K15" s="2" t="s">
        <v>185</v>
      </c>
      <c r="L15" s="2" t="str">
        <f>VLOOKUP(A15, 'Old Worksheet'!B:J,9,false)</f>
        <v>#N/A</v>
      </c>
      <c r="M15" s="2" t="s">
        <v>46</v>
      </c>
      <c r="N15" s="11" t="s">
        <v>187</v>
      </c>
      <c r="O15" s="11" t="s">
        <v>341</v>
      </c>
      <c r="P15" s="2" t="s">
        <v>346</v>
      </c>
    </row>
    <row r="16">
      <c r="A16" s="6">
        <v>491.0</v>
      </c>
      <c r="B16" s="6">
        <v>8.0</v>
      </c>
      <c r="C16" s="2" t="s">
        <v>90</v>
      </c>
      <c r="D16" s="6">
        <v>491.0</v>
      </c>
      <c r="E16" s="2" t="s">
        <v>91</v>
      </c>
      <c r="F16" s="6">
        <v>2300.0</v>
      </c>
      <c r="G16" s="2" t="s">
        <v>55</v>
      </c>
      <c r="H16" s="2" t="str">
        <f>VLOOKUP(A16, 'Old Worksheet'!B:H,7, false)</f>
        <v>#N/A</v>
      </c>
      <c r="I16" s="2" t="s">
        <v>92</v>
      </c>
      <c r="J16" s="8" t="str">
        <f>VLOOKUP(A16, 'Old Worksheet'!B:I,8,false)</f>
        <v>#N/A</v>
      </c>
      <c r="K16" s="8"/>
      <c r="L16" s="2" t="str">
        <f>VLOOKUP(A16, 'Old Worksheet'!B:J,9,false)</f>
        <v>#N/A</v>
      </c>
      <c r="M16" s="2" t="s">
        <v>33</v>
      </c>
      <c r="N16" s="11" t="s">
        <v>93</v>
      </c>
      <c r="O16" s="11" t="s">
        <v>101</v>
      </c>
      <c r="P16" s="2" t="s">
        <v>108</v>
      </c>
    </row>
    <row r="17">
      <c r="A17" s="6">
        <v>2504.0</v>
      </c>
      <c r="B17" s="6">
        <v>8.0</v>
      </c>
      <c r="C17" s="2" t="s">
        <v>37</v>
      </c>
      <c r="D17" s="6">
        <v>2504.0</v>
      </c>
      <c r="E17" s="2" t="s">
        <v>39</v>
      </c>
      <c r="F17" s="6">
        <v>7000.0</v>
      </c>
      <c r="G17" s="14" t="s">
        <v>45</v>
      </c>
      <c r="H17" s="2" t="str">
        <f>VLOOKUP(A17, 'Old Worksheet'!B:H,7, false)</f>
        <v>#N/A</v>
      </c>
      <c r="I17" s="2" t="s">
        <v>47</v>
      </c>
      <c r="J17" s="8" t="str">
        <f>VLOOKUP(A17, 'Old Worksheet'!B:I,8,false)</f>
        <v>#N/A</v>
      </c>
      <c r="K17" s="8"/>
      <c r="L17" s="2" t="str">
        <f>VLOOKUP(A17, 'Old Worksheet'!B:J,9,false)</f>
        <v>#N/A</v>
      </c>
      <c r="M17" s="2" t="s">
        <v>46</v>
      </c>
      <c r="N17" s="11" t="s">
        <v>210</v>
      </c>
      <c r="O17" s="11" t="s">
        <v>370</v>
      </c>
      <c r="P17" s="2" t="s">
        <v>373</v>
      </c>
    </row>
    <row r="18">
      <c r="A18" s="6">
        <v>509.0</v>
      </c>
      <c r="B18" s="6">
        <v>9.0</v>
      </c>
      <c r="C18" s="2" t="s">
        <v>151</v>
      </c>
      <c r="D18" s="6">
        <v>509.0</v>
      </c>
      <c r="E18" s="2" t="s">
        <v>152</v>
      </c>
      <c r="F18" s="6">
        <v>8500.0</v>
      </c>
      <c r="G18" s="2" t="s">
        <v>55</v>
      </c>
      <c r="H18" s="2" t="str">
        <f>VLOOKUP(A18, 'Old Worksheet'!B:H,7, false)</f>
        <v>#N/A</v>
      </c>
      <c r="I18" s="2" t="s">
        <v>68</v>
      </c>
      <c r="J18" s="8" t="str">
        <f>VLOOKUP(A18, 'Old Worksheet'!B:I,8,false)</f>
        <v>#N/A</v>
      </c>
      <c r="K18" s="8"/>
      <c r="L18" s="2" t="str">
        <f>VLOOKUP(A18, 'Old Worksheet'!B:J,9,false)</f>
        <v>#N/A</v>
      </c>
      <c r="M18" s="2" t="s">
        <v>33</v>
      </c>
      <c r="N18" s="11" t="s">
        <v>155</v>
      </c>
      <c r="O18" s="11" t="s">
        <v>164</v>
      </c>
      <c r="P18" s="2" t="s">
        <v>169</v>
      </c>
    </row>
    <row r="19">
      <c r="A19" s="6">
        <v>567.0</v>
      </c>
      <c r="B19" s="6">
        <v>9.0</v>
      </c>
      <c r="C19" s="2" t="s">
        <v>222</v>
      </c>
      <c r="D19" s="6">
        <v>567.0</v>
      </c>
      <c r="E19" s="2" t="s">
        <v>223</v>
      </c>
      <c r="F19" s="6">
        <v>3200.0</v>
      </c>
      <c r="G19" s="2" t="s">
        <v>55</v>
      </c>
      <c r="H19" s="2" t="str">
        <f>VLOOKUP(A19, 'Old Worksheet'!B:H,7, false)</f>
        <v>General Contractor + Millwork</v>
      </c>
      <c r="I19" s="2" t="s">
        <v>224</v>
      </c>
      <c r="J19" s="8" t="str">
        <f>VLOOKUP(A19, 'Old Worksheet'!B:I,8,false)</f>
        <v>Tersigni Palachek Design</v>
      </c>
      <c r="K19" s="2" t="s">
        <v>225</v>
      </c>
      <c r="L19" s="2" t="str">
        <f>VLOOKUP(A19, 'Old Worksheet'!B:J,9,false)</f>
        <v>David Bae Architect</v>
      </c>
      <c r="M19" s="2" t="s">
        <v>46</v>
      </c>
      <c r="N19" s="11" t="s">
        <v>227</v>
      </c>
      <c r="O19" s="11" t="s">
        <v>338</v>
      </c>
      <c r="P19" s="2" t="s">
        <v>342</v>
      </c>
    </row>
    <row r="20">
      <c r="A20" s="6">
        <v>512.0</v>
      </c>
      <c r="B20" s="6">
        <v>10.0</v>
      </c>
      <c r="C20" s="2" t="s">
        <v>170</v>
      </c>
      <c r="D20" s="6">
        <v>512.0</v>
      </c>
      <c r="E20" s="2" t="s">
        <v>171</v>
      </c>
      <c r="F20" s="6">
        <v>4500.0</v>
      </c>
      <c r="G20" s="2" t="s">
        <v>23</v>
      </c>
      <c r="H20" s="2" t="str">
        <f>VLOOKUP(A20, 'Old Worksheet'!B:H,7, false)</f>
        <v>#N/A</v>
      </c>
      <c r="I20" s="2" t="s">
        <v>172</v>
      </c>
      <c r="J20" s="8" t="str">
        <f>VLOOKUP(A20, 'Old Worksheet'!B:I,8,false)</f>
        <v>#N/A</v>
      </c>
      <c r="K20" s="8"/>
      <c r="L20" s="2" t="str">
        <f>VLOOKUP(A20, 'Old Worksheet'!B:J,9,false)</f>
        <v>#N/A</v>
      </c>
      <c r="M20" s="2" t="s">
        <v>33</v>
      </c>
      <c r="N20" s="11" t="s">
        <v>173</v>
      </c>
      <c r="O20" s="11" t="s">
        <v>180</v>
      </c>
      <c r="P20" s="2" t="s">
        <v>182</v>
      </c>
    </row>
    <row r="21">
      <c r="A21" s="6">
        <v>1835.0</v>
      </c>
      <c r="B21" s="6">
        <v>10.0</v>
      </c>
      <c r="C21" s="2" t="s">
        <v>233</v>
      </c>
      <c r="D21" s="6">
        <v>1835.0</v>
      </c>
      <c r="E21" s="2" t="s">
        <v>95</v>
      </c>
      <c r="F21" s="6">
        <v>4500.0</v>
      </c>
      <c r="G21" s="14" t="s">
        <v>23</v>
      </c>
      <c r="H21" s="2" t="str">
        <f>VLOOKUP(A21, 'Old Worksheet'!B:H,7, false)</f>
        <v>#N/A</v>
      </c>
      <c r="I21" s="2" t="s">
        <v>234</v>
      </c>
      <c r="J21" s="8" t="str">
        <f>VLOOKUP(A21, 'Old Worksheet'!B:I,8,false)</f>
        <v>#N/A</v>
      </c>
      <c r="K21" s="2" t="s">
        <v>235</v>
      </c>
      <c r="L21" s="2" t="str">
        <f>VLOOKUP(A21, 'Old Worksheet'!B:J,9,false)</f>
        <v>#N/A</v>
      </c>
      <c r="M21" s="2" t="s">
        <v>46</v>
      </c>
      <c r="N21" s="11" t="s">
        <v>237</v>
      </c>
      <c r="O21" s="11" t="s">
        <v>350</v>
      </c>
      <c r="P21" s="2" t="s">
        <v>354</v>
      </c>
    </row>
    <row r="22">
      <c r="A22" s="6">
        <v>537.0</v>
      </c>
      <c r="B22" s="6">
        <v>11.0</v>
      </c>
      <c r="C22" s="2" t="s">
        <v>240</v>
      </c>
      <c r="D22" s="6">
        <v>537.0</v>
      </c>
      <c r="E22" s="2" t="s">
        <v>242</v>
      </c>
      <c r="F22" s="6">
        <v>2200.0</v>
      </c>
      <c r="G22" s="2" t="s">
        <v>55</v>
      </c>
      <c r="H22" s="2" t="str">
        <f>VLOOKUP(A22, 'Old Worksheet'!B:H,7, false)</f>
        <v>#N/A</v>
      </c>
      <c r="I22" s="2" t="s">
        <v>224</v>
      </c>
      <c r="J22" s="8" t="str">
        <f>VLOOKUP(A22, 'Old Worksheet'!B:I,8,false)</f>
        <v>#N/A</v>
      </c>
      <c r="K22" s="2" t="s">
        <v>224</v>
      </c>
      <c r="L22" s="2" t="str">
        <f>VLOOKUP(A22, 'Old Worksheet'!B:J,9,false)</f>
        <v>#N/A</v>
      </c>
      <c r="M22" s="2" t="s">
        <v>46</v>
      </c>
      <c r="N22" s="11" t="s">
        <v>245</v>
      </c>
      <c r="O22" s="11" t="s">
        <v>260</v>
      </c>
      <c r="P22" s="2" t="s">
        <v>266</v>
      </c>
    </row>
    <row r="23">
      <c r="A23" s="6">
        <v>549.0</v>
      </c>
      <c r="B23" s="6">
        <v>11.0</v>
      </c>
      <c r="C23" s="2" t="s">
        <v>248</v>
      </c>
      <c r="D23" s="6">
        <v>549.0</v>
      </c>
      <c r="E23" s="2" t="s">
        <v>80</v>
      </c>
      <c r="F23" s="6">
        <v>3300.0</v>
      </c>
      <c r="G23" s="2" t="s">
        <v>55</v>
      </c>
      <c r="H23" s="2" t="str">
        <f>VLOOKUP(A23, 'Old Worksheet'!B:H,7, false)</f>
        <v>General Contractor + Millwork</v>
      </c>
      <c r="I23" s="2" t="s">
        <v>249</v>
      </c>
      <c r="J23" s="8" t="str">
        <f>VLOOKUP(A23, 'Old Worksheet'!B:I,8,false)</f>
        <v>AWI Interiors</v>
      </c>
      <c r="K23" s="8"/>
      <c r="L23" s="2" t="str">
        <f>VLOOKUP(A23, 'Old Worksheet'!B:J,9,false)</f>
        <v/>
      </c>
      <c r="M23" s="2" t="s">
        <v>33</v>
      </c>
      <c r="N23" s="11" t="s">
        <v>250</v>
      </c>
      <c r="O23" s="11" t="s">
        <v>285</v>
      </c>
      <c r="P23" s="2" t="s">
        <v>289</v>
      </c>
    </row>
    <row r="24">
      <c r="A24" s="6">
        <v>2850.0</v>
      </c>
      <c r="B24" s="6">
        <v>12.0</v>
      </c>
      <c r="C24" s="2" t="s">
        <v>252</v>
      </c>
      <c r="D24" s="6">
        <v>2850.0</v>
      </c>
      <c r="E24" s="2" t="s">
        <v>253</v>
      </c>
      <c r="F24" s="6">
        <v>3500.0</v>
      </c>
      <c r="G24" s="2" t="s">
        <v>23</v>
      </c>
      <c r="H24" s="2" t="str">
        <f>VLOOKUP(A24, 'Old Worksheet'!B:H,7, false)</f>
        <v>#N/A</v>
      </c>
      <c r="I24" s="8" t="s">
        <v>389</v>
      </c>
      <c r="J24" s="8" t="str">
        <f>VLOOKUP(A24, 'Old Worksheet'!B:I,8,false)</f>
        <v>#N/A</v>
      </c>
      <c r="K24" s="8"/>
      <c r="L24" s="2" t="str">
        <f>VLOOKUP(A24, 'Old Worksheet'!B:J,9,false)</f>
        <v>#N/A</v>
      </c>
      <c r="M24" s="2" t="s">
        <v>33</v>
      </c>
      <c r="N24" s="11" t="s">
        <v>257</v>
      </c>
      <c r="O24" s="11" t="s">
        <v>436</v>
      </c>
      <c r="P24" s="2" t="s">
        <v>437</v>
      </c>
    </row>
    <row r="25">
      <c r="A25" s="6">
        <v>2860.0</v>
      </c>
      <c r="B25" s="6">
        <v>12.0</v>
      </c>
      <c r="C25" s="2" t="s">
        <v>261</v>
      </c>
      <c r="D25" s="6">
        <v>2860.0</v>
      </c>
      <c r="E25" s="2" t="s">
        <v>262</v>
      </c>
      <c r="F25" s="6">
        <v>4500.0</v>
      </c>
      <c r="G25" s="2" t="s">
        <v>23</v>
      </c>
      <c r="H25" s="2" t="str">
        <f>VLOOKUP(A25, 'Old Worksheet'!B:H,7, false)</f>
        <v>#N/A</v>
      </c>
      <c r="I25" s="2" t="s">
        <v>439</v>
      </c>
      <c r="J25" s="8" t="str">
        <f>VLOOKUP(A25, 'Old Worksheet'!B:I,8,false)</f>
        <v>#N/A</v>
      </c>
      <c r="K25" s="8"/>
      <c r="L25" s="2" t="str">
        <f>VLOOKUP(A25, 'Old Worksheet'!B:J,9,false)</f>
        <v>#N/A</v>
      </c>
      <c r="M25" s="2" t="s">
        <v>46</v>
      </c>
      <c r="N25" s="11" t="s">
        <v>264</v>
      </c>
      <c r="O25" s="11" t="s">
        <v>441</v>
      </c>
      <c r="P25" s="2" t="s">
        <v>446</v>
      </c>
    </row>
    <row r="26">
      <c r="A26" s="6">
        <v>443.0</v>
      </c>
      <c r="B26" s="6">
        <v>13.0</v>
      </c>
      <c r="C26" s="2" t="s">
        <v>79</v>
      </c>
      <c r="D26" s="6">
        <v>443.0</v>
      </c>
      <c r="E26" s="2" t="s">
        <v>80</v>
      </c>
      <c r="F26" s="6">
        <v>4000.0</v>
      </c>
      <c r="G26" s="2" t="s">
        <v>23</v>
      </c>
      <c r="H26" s="2" t="str">
        <f>VLOOKUP(A26, 'Old Worksheet'!B:H,7, false)</f>
        <v>#N/A</v>
      </c>
      <c r="I26" s="2" t="s">
        <v>81</v>
      </c>
      <c r="J26" s="8" t="str">
        <f>VLOOKUP(A26, 'Old Worksheet'!B:I,8,false)</f>
        <v>#N/A</v>
      </c>
      <c r="K26" s="2" t="s">
        <v>68</v>
      </c>
      <c r="L26" s="2" t="str">
        <f>VLOOKUP(A26, 'Old Worksheet'!B:J,9,false)</f>
        <v>#N/A</v>
      </c>
      <c r="M26" s="2" t="s">
        <v>33</v>
      </c>
      <c r="N26" s="11" t="s">
        <v>82</v>
      </c>
      <c r="O26" s="11" t="s">
        <v>84</v>
      </c>
      <c r="P26" s="2" t="s">
        <v>89</v>
      </c>
    </row>
    <row r="27">
      <c r="A27" s="6">
        <v>523.0</v>
      </c>
      <c r="B27" s="6">
        <v>13.0</v>
      </c>
      <c r="C27" s="2" t="s">
        <v>212</v>
      </c>
      <c r="D27" s="6">
        <v>523.0</v>
      </c>
      <c r="E27" s="2" t="s">
        <v>76</v>
      </c>
      <c r="F27" s="6">
        <v>3400.0</v>
      </c>
      <c r="G27" s="2" t="s">
        <v>55</v>
      </c>
      <c r="H27" s="2" t="str">
        <f>VLOOKUP(A27, 'Old Worksheet'!B:H,7, false)</f>
        <v>#N/A</v>
      </c>
      <c r="I27" s="2" t="s">
        <v>213</v>
      </c>
      <c r="J27" s="8" t="str">
        <f>VLOOKUP(A27, 'Old Worksheet'!B:I,8,false)</f>
        <v>#N/A</v>
      </c>
      <c r="K27" s="8"/>
      <c r="L27" s="2" t="str">
        <f>VLOOKUP(A27, 'Old Worksheet'!B:J,9,false)</f>
        <v>#N/A</v>
      </c>
      <c r="M27" s="2" t="s">
        <v>46</v>
      </c>
      <c r="N27" s="11" t="s">
        <v>214</v>
      </c>
      <c r="O27" s="11" t="s">
        <v>217</v>
      </c>
      <c r="P27" s="2" t="s">
        <v>219</v>
      </c>
    </row>
    <row r="28">
      <c r="A28" s="6">
        <v>494.0</v>
      </c>
      <c r="B28" s="6">
        <v>14.0</v>
      </c>
      <c r="C28" s="2" t="s">
        <v>109</v>
      </c>
      <c r="D28" s="6">
        <v>494.0</v>
      </c>
      <c r="E28" s="2" t="s">
        <v>42</v>
      </c>
      <c r="F28" s="6">
        <v>10000.0</v>
      </c>
      <c r="G28" s="2" t="s">
        <v>23</v>
      </c>
      <c r="H28" s="2" t="str">
        <f>VLOOKUP(A28, 'Old Worksheet'!B:H,7, false)</f>
        <v>General Contractor</v>
      </c>
      <c r="I28" s="2" t="s">
        <v>110</v>
      </c>
      <c r="J28" s="8" t="str">
        <f>VLOOKUP(A28, 'Old Worksheet'!B:I,8,false)</f>
        <v>eleven of eleven architecture</v>
      </c>
      <c r="K28" s="8"/>
      <c r="L28" s="2" t="str">
        <f>VLOOKUP(A28, 'Old Worksheet'!B:J,9,false)</f>
        <v/>
      </c>
      <c r="M28" s="2" t="s">
        <v>33</v>
      </c>
      <c r="N28" s="11" t="s">
        <v>111</v>
      </c>
      <c r="O28" s="11" t="s">
        <v>116</v>
      </c>
      <c r="P28" s="2" t="s">
        <v>121</v>
      </c>
    </row>
    <row r="29">
      <c r="A29" s="6">
        <v>520.0</v>
      </c>
      <c r="B29" s="6">
        <v>14.0</v>
      </c>
      <c r="C29" s="2" t="s">
        <v>202</v>
      </c>
      <c r="D29" s="6">
        <v>520.0</v>
      </c>
      <c r="E29" s="2" t="s">
        <v>42</v>
      </c>
      <c r="F29" s="6">
        <v>2500.0</v>
      </c>
      <c r="G29" s="2" t="s">
        <v>127</v>
      </c>
      <c r="H29" s="2" t="str">
        <f>VLOOKUP(A29, 'Old Worksheet'!B:H,7, false)</f>
        <v>#N/A</v>
      </c>
      <c r="I29" s="8" t="s">
        <v>203</v>
      </c>
      <c r="J29" s="8" t="str">
        <f>VLOOKUP(A29, 'Old Worksheet'!B:I,8,false)</f>
        <v>#N/A</v>
      </c>
      <c r="K29" s="8"/>
      <c r="L29" s="2" t="str">
        <f>VLOOKUP(A29, 'Old Worksheet'!B:J,9,false)</f>
        <v>#N/A</v>
      </c>
      <c r="M29" s="2" t="s">
        <v>46</v>
      </c>
      <c r="N29" s="11" t="s">
        <v>204</v>
      </c>
      <c r="O29" s="11" t="s">
        <v>206</v>
      </c>
      <c r="P29" s="2" t="s">
        <v>211</v>
      </c>
    </row>
    <row r="30">
      <c r="A30" s="6">
        <v>540.0</v>
      </c>
      <c r="B30" s="6">
        <v>15.0</v>
      </c>
      <c r="C30" s="2" t="s">
        <v>254</v>
      </c>
      <c r="D30" s="6">
        <v>540.0</v>
      </c>
      <c r="E30" s="2" t="s">
        <v>66</v>
      </c>
      <c r="F30" s="6">
        <v>1700.0</v>
      </c>
      <c r="G30" s="2" t="s">
        <v>55</v>
      </c>
      <c r="H30" s="2" t="str">
        <f>VLOOKUP(A30, 'Old Worksheet'!B:H,7, false)</f>
        <v>#N/A</v>
      </c>
      <c r="I30" s="8" t="s">
        <v>258</v>
      </c>
      <c r="J30" s="8" t="str">
        <f>VLOOKUP(A30, 'Old Worksheet'!B:I,8,false)</f>
        <v>#N/A</v>
      </c>
      <c r="K30" s="2" t="s">
        <v>44</v>
      </c>
      <c r="L30" s="2" t="str">
        <f>VLOOKUP(A30, 'Old Worksheet'!B:J,9,false)</f>
        <v>#N/A</v>
      </c>
      <c r="M30" s="2" t="s">
        <v>46</v>
      </c>
      <c r="N30" s="11" t="s">
        <v>267</v>
      </c>
      <c r="O30" s="11" t="s">
        <v>268</v>
      </c>
      <c r="P30" s="2" t="s">
        <v>273</v>
      </c>
    </row>
    <row r="31">
      <c r="A31" s="6">
        <v>2853.0</v>
      </c>
      <c r="B31" s="6">
        <v>15.0</v>
      </c>
      <c r="C31" s="2" t="s">
        <v>288</v>
      </c>
      <c r="D31" s="6">
        <v>2853.0</v>
      </c>
      <c r="E31" s="2" t="s">
        <v>253</v>
      </c>
      <c r="F31" s="6">
        <v>7500.0</v>
      </c>
      <c r="G31" s="2" t="s">
        <v>23</v>
      </c>
      <c r="H31" s="2" t="str">
        <f>VLOOKUP(A31, 'Old Worksheet'!B:H,7, false)</f>
        <v>General Contractor</v>
      </c>
      <c r="I31" s="2" t="s">
        <v>290</v>
      </c>
      <c r="J31" s="8" t="str">
        <f>VLOOKUP(A31, 'Old Worksheet'!B:I,8,false)</f>
        <v>Eleven of Eleven design</v>
      </c>
      <c r="K31" s="2" t="s">
        <v>291</v>
      </c>
      <c r="L31" s="2" t="str">
        <f>VLOOKUP(A31, 'Old Worksheet'!B:J,9,false)</f>
        <v>Carol Gretter Elven of Eleven architecture</v>
      </c>
      <c r="M31" s="2" t="s">
        <v>33</v>
      </c>
      <c r="N31" s="11" t="s">
        <v>292</v>
      </c>
      <c r="O31" s="11" t="s">
        <v>440</v>
      </c>
      <c r="P31" s="2" t="s">
        <v>444</v>
      </c>
    </row>
    <row r="32">
      <c r="A32" s="6">
        <v>2396.0</v>
      </c>
      <c r="B32" s="6">
        <v>16.0</v>
      </c>
      <c r="C32" s="2" t="s">
        <v>294</v>
      </c>
      <c r="D32" s="6">
        <v>2396.0</v>
      </c>
      <c r="E32" s="2" t="s">
        <v>161</v>
      </c>
      <c r="F32" s="6">
        <v>2200.0</v>
      </c>
      <c r="G32" s="14" t="s">
        <v>23</v>
      </c>
      <c r="H32" s="2" t="str">
        <f>VLOOKUP(A32, 'Old Worksheet'!B:H,7, false)</f>
        <v>#N/A</v>
      </c>
      <c r="I32" s="2" t="s">
        <v>162</v>
      </c>
      <c r="J32" s="8" t="str">
        <f>VLOOKUP(A32, 'Old Worksheet'!B:I,8,false)</f>
        <v>#N/A</v>
      </c>
      <c r="K32" s="2" t="s">
        <v>44</v>
      </c>
      <c r="L32" s="2" t="str">
        <f>VLOOKUP(A32, 'Old Worksheet'!B:J,9,false)</f>
        <v>#N/A</v>
      </c>
      <c r="M32" s="2" t="s">
        <v>46</v>
      </c>
      <c r="N32" s="11" t="s">
        <v>295</v>
      </c>
      <c r="O32" s="11" t="s">
        <v>409</v>
      </c>
      <c r="P32" s="2" t="s">
        <v>411</v>
      </c>
    </row>
    <row r="33">
      <c r="A33" s="6">
        <v>2520.0</v>
      </c>
      <c r="B33" s="6">
        <v>16.0</v>
      </c>
      <c r="C33" s="2" t="s">
        <v>297</v>
      </c>
      <c r="D33" s="6">
        <v>2520.0</v>
      </c>
      <c r="E33" s="2" t="s">
        <v>298</v>
      </c>
      <c r="F33" s="6">
        <v>5500.0</v>
      </c>
      <c r="G33" s="14" t="s">
        <v>23</v>
      </c>
      <c r="H33" s="2" t="str">
        <f>VLOOKUP(A33, 'Old Worksheet'!B:H,7, false)</f>
        <v>#N/A</v>
      </c>
      <c r="I33" s="2" t="s">
        <v>300</v>
      </c>
      <c r="J33" s="8" t="str">
        <f>VLOOKUP(A33, 'Old Worksheet'!B:I,8,false)</f>
        <v>#N/A</v>
      </c>
      <c r="K33" s="2" t="s">
        <v>44</v>
      </c>
      <c r="L33" s="2" t="str">
        <f>VLOOKUP(A33, 'Old Worksheet'!B:J,9,false)</f>
        <v>#N/A</v>
      </c>
      <c r="M33" s="2" t="s">
        <v>33</v>
      </c>
      <c r="N33" s="11" t="s">
        <v>302</v>
      </c>
      <c r="O33" s="11" t="s">
        <v>422</v>
      </c>
      <c r="P33" s="2" t="s">
        <v>423</v>
      </c>
    </row>
    <row r="34">
      <c r="A34" s="6">
        <v>1907.0</v>
      </c>
      <c r="B34" s="6">
        <v>17.0</v>
      </c>
      <c r="C34" s="2" t="s">
        <v>305</v>
      </c>
      <c r="D34" s="6">
        <v>1907.0</v>
      </c>
      <c r="E34" s="2" t="s">
        <v>243</v>
      </c>
      <c r="F34" s="6">
        <v>6000.0</v>
      </c>
      <c r="G34" s="14" t="s">
        <v>127</v>
      </c>
      <c r="H34" s="2" t="str">
        <f>VLOOKUP(A34, 'Old Worksheet'!B:H,7, false)</f>
        <v>#N/A</v>
      </c>
      <c r="I34" s="2" t="s">
        <v>306</v>
      </c>
      <c r="J34" s="8" t="str">
        <f>VLOOKUP(A34, 'Old Worksheet'!B:I,8,false)</f>
        <v>#N/A</v>
      </c>
      <c r="K34" s="2" t="s">
        <v>185</v>
      </c>
      <c r="L34" s="2" t="str">
        <f>VLOOKUP(A34, 'Old Worksheet'!B:J,9,false)</f>
        <v>#N/A</v>
      </c>
      <c r="M34" s="2" t="s">
        <v>46</v>
      </c>
      <c r="N34" s="11" t="s">
        <v>307</v>
      </c>
      <c r="O34" s="11" t="s">
        <v>358</v>
      </c>
      <c r="P34" s="2" t="s">
        <v>359</v>
      </c>
    </row>
    <row r="35">
      <c r="A35" s="6">
        <v>1931.0</v>
      </c>
      <c r="B35" s="6">
        <v>18.0</v>
      </c>
      <c r="C35" s="2" t="s">
        <v>317</v>
      </c>
      <c r="D35" s="6">
        <v>1931.0</v>
      </c>
      <c r="E35" s="2" t="s">
        <v>318</v>
      </c>
      <c r="F35" s="6">
        <v>4500.0</v>
      </c>
      <c r="G35" s="14" t="s">
        <v>23</v>
      </c>
      <c r="H35" s="2" t="str">
        <f>VLOOKUP(A35, 'Old Worksheet'!B:H,7, false)</f>
        <v>#N/A</v>
      </c>
      <c r="I35" s="2" t="s">
        <v>319</v>
      </c>
      <c r="J35" s="8" t="str">
        <f>VLOOKUP(A35, 'Old Worksheet'!B:I,8,false)</f>
        <v>#N/A</v>
      </c>
      <c r="K35" s="8"/>
      <c r="L35" s="2" t="str">
        <f>VLOOKUP(A35, 'Old Worksheet'!B:J,9,false)</f>
        <v>#N/A</v>
      </c>
      <c r="M35" s="2" t="s">
        <v>33</v>
      </c>
      <c r="N35" s="11" t="s">
        <v>321</v>
      </c>
      <c r="O35" s="11" t="s">
        <v>364</v>
      </c>
      <c r="P35" s="2" t="s">
        <v>365</v>
      </c>
    </row>
    <row r="36">
      <c r="A36" s="6">
        <v>2409.0</v>
      </c>
      <c r="B36" s="6">
        <v>18.0</v>
      </c>
      <c r="C36" s="2" t="s">
        <v>322</v>
      </c>
      <c r="D36" s="6">
        <v>2409.0</v>
      </c>
      <c r="E36" s="2" t="s">
        <v>57</v>
      </c>
      <c r="F36" s="6">
        <v>1400.0</v>
      </c>
      <c r="G36" s="14" t="s">
        <v>23</v>
      </c>
      <c r="H36" s="2" t="str">
        <f>VLOOKUP(A36, 'Old Worksheet'!B:H,7, false)</f>
        <v>#N/A</v>
      </c>
      <c r="I36" s="2" t="s">
        <v>324</v>
      </c>
      <c r="J36" s="8" t="str">
        <f>VLOOKUP(A36, 'Old Worksheet'!B:I,8,false)</f>
        <v>#N/A</v>
      </c>
      <c r="K36" s="2" t="s">
        <v>68</v>
      </c>
      <c r="L36" s="2" t="str">
        <f>VLOOKUP(A36, 'Old Worksheet'!B:J,9,false)</f>
        <v>#N/A</v>
      </c>
      <c r="M36" s="2" t="s">
        <v>46</v>
      </c>
      <c r="N36" s="11" t="s">
        <v>328</v>
      </c>
      <c r="O36" s="11" t="s">
        <v>412</v>
      </c>
      <c r="P36" s="2" t="s">
        <v>414</v>
      </c>
    </row>
    <row r="37">
      <c r="A37" s="6">
        <v>2425.0</v>
      </c>
      <c r="B37" s="6">
        <v>19.0</v>
      </c>
      <c r="C37" s="2" t="s">
        <v>332</v>
      </c>
      <c r="D37" s="6">
        <v>2425.0</v>
      </c>
      <c r="E37" s="2" t="s">
        <v>242</v>
      </c>
      <c r="F37" s="6">
        <v>1500.0</v>
      </c>
      <c r="G37" s="14" t="s">
        <v>23</v>
      </c>
      <c r="H37" s="2" t="str">
        <f>VLOOKUP(A37, 'Old Worksheet'!B:H,7, false)</f>
        <v>#N/A</v>
      </c>
      <c r="I37" s="2" t="s">
        <v>333</v>
      </c>
      <c r="J37" s="8" t="str">
        <f>VLOOKUP(A37, 'Old Worksheet'!B:I,8,false)</f>
        <v>#N/A</v>
      </c>
      <c r="K37" s="2" t="s">
        <v>334</v>
      </c>
      <c r="L37" s="2" t="str">
        <f>VLOOKUP(A37, 'Old Worksheet'!B:J,9,false)</f>
        <v>#N/A</v>
      </c>
      <c r="M37" s="2" t="s">
        <v>33</v>
      </c>
      <c r="N37" s="11" t="s">
        <v>337</v>
      </c>
      <c r="O37" s="11" t="s">
        <v>416</v>
      </c>
      <c r="P37" s="2" t="s">
        <v>418</v>
      </c>
    </row>
    <row r="38">
      <c r="A38" s="6">
        <v>2838.0</v>
      </c>
      <c r="B38" s="6">
        <v>19.0</v>
      </c>
      <c r="C38" s="2" t="s">
        <v>102</v>
      </c>
      <c r="D38" s="6">
        <v>2838.0</v>
      </c>
      <c r="E38" s="2" t="s">
        <v>105</v>
      </c>
      <c r="F38" s="6">
        <v>750.0</v>
      </c>
      <c r="G38" s="2" t="s">
        <v>23</v>
      </c>
      <c r="H38" s="2" t="str">
        <f>VLOOKUP(A38, 'Old Worksheet'!B:H,7, false)</f>
        <v>#N/A</v>
      </c>
      <c r="I38" s="2" t="s">
        <v>106</v>
      </c>
      <c r="J38" s="8" t="str">
        <f>VLOOKUP(A38, 'Old Worksheet'!B:I,8,false)</f>
        <v>#N/A</v>
      </c>
      <c r="K38" s="8"/>
      <c r="L38" s="2" t="str">
        <f>VLOOKUP(A38, 'Old Worksheet'!B:J,9,false)</f>
        <v>#N/A</v>
      </c>
      <c r="M38" s="2" t="s">
        <v>46</v>
      </c>
      <c r="N38" s="11" t="s">
        <v>340</v>
      </c>
      <c r="O38" s="11" t="s">
        <v>427</v>
      </c>
      <c r="P38" s="2" t="s">
        <v>429</v>
      </c>
    </row>
    <row r="39">
      <c r="A39" s="6">
        <v>534.0</v>
      </c>
      <c r="B39" s="6">
        <v>20.0</v>
      </c>
      <c r="C39" s="2" t="s">
        <v>241</v>
      </c>
      <c r="D39" s="6">
        <v>534.0</v>
      </c>
      <c r="E39" s="2" t="s">
        <v>243</v>
      </c>
      <c r="F39" s="6">
        <v>600.0</v>
      </c>
      <c r="G39" s="2" t="s">
        <v>55</v>
      </c>
      <c r="H39" s="2" t="str">
        <f>VLOOKUP(A39, 'Old Worksheet'!B:H,7, false)</f>
        <v>#N/A</v>
      </c>
      <c r="I39" s="2" t="s">
        <v>44</v>
      </c>
      <c r="J39" s="8" t="str">
        <f>VLOOKUP(A39, 'Old Worksheet'!B:I,8,false)</f>
        <v>#N/A</v>
      </c>
      <c r="K39" s="8"/>
      <c r="L39" s="2" t="str">
        <f>VLOOKUP(A39, 'Old Worksheet'!B:J,9,false)</f>
        <v>#N/A</v>
      </c>
      <c r="M39" s="2" t="s">
        <v>46</v>
      </c>
      <c r="N39" s="11" t="s">
        <v>244</v>
      </c>
      <c r="O39" s="11" t="s">
        <v>247</v>
      </c>
      <c r="P39" s="2" t="s">
        <v>251</v>
      </c>
    </row>
    <row r="40">
      <c r="A40" s="6">
        <v>564.0</v>
      </c>
      <c r="B40" s="6">
        <v>20.0</v>
      </c>
      <c r="C40" s="2" t="s">
        <v>323</v>
      </c>
      <c r="D40" s="6">
        <v>564.0</v>
      </c>
      <c r="E40" s="2" t="s">
        <v>80</v>
      </c>
      <c r="F40" s="6">
        <v>2500.0</v>
      </c>
      <c r="G40" s="2" t="s">
        <v>23</v>
      </c>
      <c r="H40" s="2" t="str">
        <f>VLOOKUP(A40, 'Old Worksheet'!B:H,7, false)</f>
        <v>#N/A</v>
      </c>
      <c r="I40" s="2" t="s">
        <v>325</v>
      </c>
      <c r="J40" s="8" t="str">
        <f>VLOOKUP(A40, 'Old Worksheet'!B:I,8,false)</f>
        <v>#N/A</v>
      </c>
      <c r="K40" s="8"/>
      <c r="L40" s="2" t="str">
        <f>VLOOKUP(A40, 'Old Worksheet'!B:J,9,false)</f>
        <v>#N/A</v>
      </c>
      <c r="M40" s="2" t="s">
        <v>33</v>
      </c>
      <c r="N40" s="11" t="s">
        <v>326</v>
      </c>
      <c r="O40" s="11" t="s">
        <v>331</v>
      </c>
      <c r="P40" s="2" t="s">
        <v>335</v>
      </c>
    </row>
    <row r="41">
      <c r="A41" s="6">
        <v>503.0</v>
      </c>
      <c r="B41" s="6">
        <v>21.0</v>
      </c>
      <c r="C41" s="2" t="s">
        <v>122</v>
      </c>
      <c r="D41" s="6">
        <v>503.0</v>
      </c>
      <c r="E41" s="2" t="s">
        <v>123</v>
      </c>
      <c r="F41" s="6">
        <v>7000.0</v>
      </c>
      <c r="G41" s="2" t="s">
        <v>125</v>
      </c>
      <c r="H41" s="2" t="str">
        <f>VLOOKUP(A41, 'Old Worksheet'!B:H,7, false)</f>
        <v>#N/A</v>
      </c>
      <c r="I41" s="2" t="s">
        <v>126</v>
      </c>
      <c r="J41" s="8" t="str">
        <f>VLOOKUP(A41, 'Old Worksheet'!B:I,8,false)</f>
        <v>#N/A</v>
      </c>
      <c r="K41" s="8"/>
      <c r="L41" s="2" t="str">
        <f>VLOOKUP(A41, 'Old Worksheet'!B:J,9,false)</f>
        <v>#N/A</v>
      </c>
      <c r="M41" s="2" t="s">
        <v>33</v>
      </c>
      <c r="N41" s="11" t="s">
        <v>129</v>
      </c>
      <c r="O41" s="11" t="s">
        <v>135</v>
      </c>
      <c r="P41" s="2" t="s">
        <v>141</v>
      </c>
    </row>
    <row r="42">
      <c r="A42" s="6">
        <v>527.0</v>
      </c>
      <c r="B42" s="6">
        <v>21.0</v>
      </c>
      <c r="C42" s="2" t="s">
        <v>221</v>
      </c>
      <c r="D42" s="6">
        <v>527.0</v>
      </c>
      <c r="E42" s="2" t="s">
        <v>76</v>
      </c>
      <c r="F42" s="6">
        <v>2000.0</v>
      </c>
      <c r="G42" s="2" t="s">
        <v>55</v>
      </c>
      <c r="H42" s="2" t="str">
        <f>VLOOKUP(A42, 'Old Worksheet'!B:H,7, false)</f>
        <v>#N/A</v>
      </c>
      <c r="I42" s="2" t="s">
        <v>44</v>
      </c>
      <c r="J42" s="8" t="str">
        <f>VLOOKUP(A42, 'Old Worksheet'!B:I,8,false)</f>
        <v>#N/A</v>
      </c>
      <c r="K42" s="2" t="s">
        <v>44</v>
      </c>
      <c r="L42" s="2" t="str">
        <f>VLOOKUP(A42, 'Old Worksheet'!B:J,9,false)</f>
        <v>#N/A</v>
      </c>
      <c r="M42" s="2" t="s">
        <v>46</v>
      </c>
      <c r="N42" s="11" t="s">
        <v>226</v>
      </c>
      <c r="O42" s="11" t="s">
        <v>228</v>
      </c>
      <c r="P42" s="2" t="s">
        <v>231</v>
      </c>
    </row>
    <row r="43">
      <c r="A43" s="6">
        <v>2345.0</v>
      </c>
      <c r="B43" s="6">
        <v>22.0</v>
      </c>
      <c r="C43" s="2" t="s">
        <v>360</v>
      </c>
      <c r="D43" s="6">
        <v>2345.0</v>
      </c>
      <c r="E43" s="2" t="s">
        <v>242</v>
      </c>
      <c r="F43" s="6">
        <v>3500.0</v>
      </c>
      <c r="G43" s="14" t="s">
        <v>23</v>
      </c>
      <c r="H43" s="2" t="str">
        <f>VLOOKUP(A43, 'Old Worksheet'!B:H,7, false)</f>
        <v>#N/A</v>
      </c>
      <c r="I43" s="2" t="s">
        <v>361</v>
      </c>
      <c r="J43" s="8" t="str">
        <f>VLOOKUP(A43, 'Old Worksheet'!B:I,8,false)</f>
        <v>#N/A</v>
      </c>
      <c r="K43" s="2" t="s">
        <v>362</v>
      </c>
      <c r="L43" s="2" t="str">
        <f>VLOOKUP(A43, 'Old Worksheet'!B:J,9,false)</f>
        <v>#N/A</v>
      </c>
      <c r="M43" s="2" t="s">
        <v>33</v>
      </c>
      <c r="N43" s="11" t="s">
        <v>363</v>
      </c>
      <c r="O43" s="11" t="s">
        <v>376</v>
      </c>
      <c r="P43" s="2" t="s">
        <v>377</v>
      </c>
    </row>
    <row r="44">
      <c r="A44" s="6">
        <v>2366.0</v>
      </c>
      <c r="B44" s="6">
        <v>22.0</v>
      </c>
      <c r="C44" s="2" t="s">
        <v>366</v>
      </c>
      <c r="D44" s="6">
        <v>2366.0</v>
      </c>
      <c r="E44" s="2" t="s">
        <v>367</v>
      </c>
      <c r="F44" s="6">
        <v>3200.0</v>
      </c>
      <c r="G44" s="14" t="s">
        <v>369</v>
      </c>
      <c r="H44" s="2" t="str">
        <f>VLOOKUP(A44, 'Old Worksheet'!B:H,7, false)</f>
        <v>#N/A</v>
      </c>
      <c r="I44" s="2" t="s">
        <v>162</v>
      </c>
      <c r="J44" s="8" t="str">
        <f>VLOOKUP(A44, 'Old Worksheet'!B:I,8,false)</f>
        <v>#N/A</v>
      </c>
      <c r="K44" s="8"/>
      <c r="L44" s="2" t="str">
        <f>VLOOKUP(A44, 'Old Worksheet'!B:J,9,false)</f>
        <v>#N/A</v>
      </c>
      <c r="M44" s="2" t="s">
        <v>46</v>
      </c>
      <c r="N44" s="11" t="s">
        <v>371</v>
      </c>
      <c r="O44" s="11" t="s">
        <v>394</v>
      </c>
      <c r="P44" s="2" t="s">
        <v>397</v>
      </c>
    </row>
    <row r="45">
      <c r="A45" s="6">
        <v>2384.0</v>
      </c>
      <c r="B45" s="6">
        <v>23.0</v>
      </c>
      <c r="C45" s="2" t="s">
        <v>310</v>
      </c>
      <c r="D45" s="6">
        <v>2384.0</v>
      </c>
      <c r="E45" s="2" t="s">
        <v>76</v>
      </c>
      <c r="F45" s="6">
        <v>550.0</v>
      </c>
      <c r="G45" s="14" t="s">
        <v>23</v>
      </c>
      <c r="H45" s="2" t="str">
        <f>VLOOKUP(A45, 'Old Worksheet'!B:H,7, false)</f>
        <v>#N/A</v>
      </c>
      <c r="I45" s="2" t="s">
        <v>312</v>
      </c>
      <c r="J45" s="8" t="str">
        <f>VLOOKUP(A45, 'Old Worksheet'!B:I,8,false)</f>
        <v>#N/A</v>
      </c>
      <c r="K45" s="2" t="s">
        <v>312</v>
      </c>
      <c r="L45" s="2" t="str">
        <f>VLOOKUP(A45, 'Old Worksheet'!B:J,9,false)</f>
        <v>#N/A</v>
      </c>
      <c r="M45" s="2" t="s">
        <v>33</v>
      </c>
      <c r="N45" s="11" t="s">
        <v>375</v>
      </c>
      <c r="O45" s="11" t="s">
        <v>405</v>
      </c>
      <c r="P45" s="2" t="s">
        <v>406</v>
      </c>
    </row>
    <row r="46">
      <c r="A46" s="6">
        <v>558.0</v>
      </c>
      <c r="B46" s="6">
        <v>24.0</v>
      </c>
      <c r="C46" s="2" t="s">
        <v>183</v>
      </c>
      <c r="D46" s="6">
        <v>558.0</v>
      </c>
      <c r="E46" s="2" t="s">
        <v>154</v>
      </c>
      <c r="F46" s="6">
        <v>5000.0</v>
      </c>
      <c r="G46" s="2" t="s">
        <v>55</v>
      </c>
      <c r="H46" s="2" t="str">
        <f>VLOOKUP(A46, 'Old Worksheet'!B:H,7, false)</f>
        <v>#N/A</v>
      </c>
      <c r="I46" s="8" t="s">
        <v>189</v>
      </c>
      <c r="J46" s="8" t="str">
        <f>VLOOKUP(A46, 'Old Worksheet'!B:I,8,false)</f>
        <v>#N/A</v>
      </c>
      <c r="K46" s="2" t="s">
        <v>190</v>
      </c>
      <c r="L46" s="2" t="str">
        <f>VLOOKUP(A46, 'Old Worksheet'!B:J,9,false)</f>
        <v>#N/A</v>
      </c>
      <c r="M46" s="2" t="s">
        <v>33</v>
      </c>
      <c r="N46" s="11" t="s">
        <v>308</v>
      </c>
      <c r="O46" s="11" t="s">
        <v>309</v>
      </c>
      <c r="P46" s="2" t="s">
        <v>315</v>
      </c>
    </row>
    <row r="47">
      <c r="A47" s="21"/>
      <c r="B47" s="21"/>
      <c r="C47" s="21" t="s">
        <v>314</v>
      </c>
      <c r="D47" s="22">
        <v>3500.0</v>
      </c>
      <c r="E47" s="22" t="s">
        <v>154</v>
      </c>
      <c r="F47" s="21">
        <v>3500.0</v>
      </c>
      <c r="G47" s="23" t="s">
        <v>23</v>
      </c>
      <c r="H47" s="2" t="str">
        <f>VLOOKUP(A47, 'Old Worksheet'!B:H,7, false)</f>
        <v>#N/A</v>
      </c>
      <c r="I47" s="21" t="s">
        <v>316</v>
      </c>
      <c r="J47" s="8" t="str">
        <f>VLOOKUP(A47, 'Old Worksheet'!B:I,8,false)</f>
        <v>#N/A</v>
      </c>
      <c r="K47" s="21" t="s">
        <v>44</v>
      </c>
      <c r="L47" s="2" t="str">
        <f>VLOOKUP(A47, 'Old Worksheet'!B:J,9,false)</f>
        <v>#N/A</v>
      </c>
      <c r="M47" s="21" t="s">
        <v>33</v>
      </c>
      <c r="N47" s="39" t="s">
        <v>445</v>
      </c>
      <c r="O47" s="40" t="s">
        <v>447</v>
      </c>
      <c r="P47" s="22" t="s">
        <v>532</v>
      </c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</sheetData>
  <autoFilter ref="$A$1:$AD$47">
    <sortState ref="A1:AD47">
      <sortCondition ref="B1:B47"/>
    </sortState>
  </autoFilter>
  <hyperlinks>
    <hyperlink r:id="rId1" ref="N2"/>
    <hyperlink r:id="rId2" ref="O2"/>
    <hyperlink r:id="rId3" ref="N3"/>
    <hyperlink r:id="rId4" ref="O3"/>
    <hyperlink r:id="rId5" ref="N4"/>
    <hyperlink r:id="rId6" ref="O4"/>
    <hyperlink r:id="rId7" ref="N5"/>
    <hyperlink r:id="rId8" ref="O5"/>
    <hyperlink r:id="rId9" ref="N6"/>
    <hyperlink r:id="rId10" ref="O6"/>
    <hyperlink r:id="rId11" ref="N7"/>
    <hyperlink r:id="rId12" ref="O7"/>
    <hyperlink r:id="rId13" ref="N8"/>
    <hyperlink r:id="rId14" ref="O8"/>
    <hyperlink r:id="rId15" ref="N9"/>
    <hyperlink r:id="rId16" ref="O9"/>
    <hyperlink r:id="rId17" ref="N10"/>
    <hyperlink r:id="rId18" ref="O10"/>
    <hyperlink r:id="rId19" ref="N11"/>
    <hyperlink r:id="rId20" ref="O11"/>
    <hyperlink r:id="rId21" ref="N12"/>
    <hyperlink r:id="rId22" ref="O12"/>
    <hyperlink r:id="rId23" ref="N13"/>
    <hyperlink r:id="rId24" ref="O13"/>
    <hyperlink r:id="rId25" ref="N14"/>
    <hyperlink r:id="rId26" ref="O14"/>
    <hyperlink r:id="rId27" ref="N15"/>
    <hyperlink r:id="rId28" ref="O15"/>
    <hyperlink r:id="rId29" ref="N16"/>
    <hyperlink r:id="rId30" ref="O16"/>
    <hyperlink r:id="rId31" ref="N17"/>
    <hyperlink r:id="rId32" ref="O17"/>
    <hyperlink r:id="rId33" ref="N18"/>
    <hyperlink r:id="rId34" ref="O18"/>
    <hyperlink r:id="rId35" ref="N19"/>
    <hyperlink r:id="rId36" ref="O19"/>
    <hyperlink r:id="rId37" ref="N20"/>
    <hyperlink r:id="rId38" ref="O20"/>
    <hyperlink r:id="rId39" ref="N21"/>
    <hyperlink r:id="rId40" ref="O21"/>
    <hyperlink r:id="rId41" ref="N22"/>
    <hyperlink r:id="rId42" ref="O22"/>
    <hyperlink r:id="rId43" ref="N23"/>
    <hyperlink r:id="rId44" ref="O23"/>
    <hyperlink r:id="rId45" ref="N24"/>
    <hyperlink r:id="rId46" ref="O24"/>
    <hyperlink r:id="rId47" ref="N25"/>
    <hyperlink r:id="rId48" ref="O25"/>
    <hyperlink r:id="rId49" ref="N26"/>
    <hyperlink r:id="rId50" ref="O26"/>
    <hyperlink r:id="rId51" ref="N27"/>
    <hyperlink r:id="rId52" ref="O27"/>
    <hyperlink r:id="rId53" ref="N28"/>
    <hyperlink r:id="rId54" ref="O28"/>
    <hyperlink r:id="rId55" ref="N29"/>
    <hyperlink r:id="rId56" ref="O29"/>
    <hyperlink r:id="rId57" ref="N30"/>
    <hyperlink r:id="rId58" ref="O30"/>
    <hyperlink r:id="rId59" ref="N31"/>
    <hyperlink r:id="rId60" ref="O31"/>
    <hyperlink r:id="rId61" ref="N32"/>
    <hyperlink r:id="rId62" ref="O32"/>
    <hyperlink r:id="rId63" ref="N33"/>
    <hyperlink r:id="rId64" ref="O33"/>
    <hyperlink r:id="rId65" ref="N34"/>
    <hyperlink r:id="rId66" ref="O34"/>
    <hyperlink r:id="rId67" ref="N35"/>
    <hyperlink r:id="rId68" ref="O35"/>
    <hyperlink r:id="rId69" ref="N36"/>
    <hyperlink r:id="rId70" ref="O36"/>
    <hyperlink r:id="rId71" ref="N37"/>
    <hyperlink r:id="rId72" ref="O37"/>
    <hyperlink r:id="rId73" ref="N38"/>
    <hyperlink r:id="rId74" ref="O38"/>
    <hyperlink r:id="rId75" ref="N39"/>
    <hyperlink r:id="rId76" ref="O39"/>
    <hyperlink r:id="rId77" ref="N40"/>
    <hyperlink r:id="rId78" ref="O40"/>
    <hyperlink r:id="rId79" ref="N41"/>
    <hyperlink r:id="rId80" ref="O41"/>
    <hyperlink r:id="rId81" ref="N42"/>
    <hyperlink r:id="rId82" ref="O42"/>
    <hyperlink r:id="rId83" ref="N43"/>
    <hyperlink r:id="rId84" ref="O43"/>
    <hyperlink r:id="rId85" ref="N44"/>
    <hyperlink r:id="rId86" ref="O44"/>
    <hyperlink r:id="rId87" ref="N45"/>
    <hyperlink r:id="rId88" ref="O45"/>
    <hyperlink r:id="rId89" ref="N46"/>
    <hyperlink r:id="rId90" ref="O46"/>
    <hyperlink r:id="rId91" ref="N47"/>
    <hyperlink r:id="rId92" ref="O47"/>
  </hyperlinks>
  <drawing r:id="rId9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34.43"/>
    <col customWidth="1" min="4" max="4" width="24.57"/>
    <col customWidth="1" min="6" max="6" width="29.29"/>
    <col customWidth="1" min="7" max="7" width="51.71"/>
    <col customWidth="1" min="8" max="8" width="39.57"/>
    <col customWidth="1" min="10" max="10" width="78.14"/>
    <col customWidth="1" min="11" max="11" width="37.29"/>
    <col customWidth="1" min="12" max="12" width="35.71"/>
  </cols>
  <sheetData>
    <row r="1">
      <c r="A1" s="2" t="s">
        <v>0</v>
      </c>
      <c r="B1" s="2" t="s">
        <v>4</v>
      </c>
      <c r="C1" s="2" t="s">
        <v>5</v>
      </c>
      <c r="D1" s="2" t="s">
        <v>7</v>
      </c>
      <c r="E1" s="2" t="s">
        <v>8</v>
      </c>
      <c r="F1" s="2" t="s">
        <v>9</v>
      </c>
      <c r="G1" s="2" t="s">
        <v>12</v>
      </c>
      <c r="H1" s="2" t="s">
        <v>14</v>
      </c>
      <c r="I1" s="2" t="s">
        <v>16</v>
      </c>
      <c r="J1" s="2" t="s">
        <v>17</v>
      </c>
      <c r="K1" s="2" t="s">
        <v>18</v>
      </c>
      <c r="L1" s="2" t="s">
        <v>19</v>
      </c>
    </row>
    <row r="2">
      <c r="A2" s="6">
        <v>433.0</v>
      </c>
      <c r="B2" s="6">
        <v>3.0</v>
      </c>
      <c r="C2" s="2" t="s">
        <v>27</v>
      </c>
      <c r="D2" s="2" t="s">
        <v>28</v>
      </c>
      <c r="E2" s="6">
        <v>22000.0</v>
      </c>
      <c r="F2" s="2" t="s">
        <v>29</v>
      </c>
      <c r="G2" s="2" t="s">
        <v>30</v>
      </c>
      <c r="H2" s="8"/>
      <c r="I2" s="2" t="s">
        <v>33</v>
      </c>
      <c r="J2" s="11" t="s">
        <v>34</v>
      </c>
      <c r="K2" s="11" t="s">
        <v>40</v>
      </c>
      <c r="L2" s="2" t="s">
        <v>51</v>
      </c>
    </row>
    <row r="3">
      <c r="A3" s="6">
        <v>436.0</v>
      </c>
      <c r="B3" s="6">
        <v>2.0</v>
      </c>
      <c r="C3" s="2" t="s">
        <v>52</v>
      </c>
      <c r="D3" s="2" t="s">
        <v>53</v>
      </c>
      <c r="E3" s="6">
        <v>12500.0</v>
      </c>
      <c r="F3" s="2" t="s">
        <v>55</v>
      </c>
      <c r="G3" s="2" t="s">
        <v>58</v>
      </c>
      <c r="H3" s="2" t="s">
        <v>60</v>
      </c>
      <c r="I3" s="2" t="s">
        <v>33</v>
      </c>
      <c r="J3" s="11" t="s">
        <v>62</v>
      </c>
      <c r="K3" s="11" t="s">
        <v>64</v>
      </c>
      <c r="L3" s="2" t="s">
        <v>70</v>
      </c>
    </row>
    <row r="4">
      <c r="A4" s="6">
        <v>439.0</v>
      </c>
      <c r="B4" s="6">
        <v>1.0</v>
      </c>
      <c r="C4" s="2" t="s">
        <v>21</v>
      </c>
      <c r="D4" s="2" t="s">
        <v>22</v>
      </c>
      <c r="E4" s="6">
        <v>10500.0</v>
      </c>
      <c r="F4" s="2" t="s">
        <v>23</v>
      </c>
      <c r="G4" s="2" t="s">
        <v>31</v>
      </c>
      <c r="H4" s="8"/>
      <c r="I4" s="2" t="s">
        <v>33</v>
      </c>
      <c r="J4" s="11" t="s">
        <v>36</v>
      </c>
      <c r="K4" s="11" t="s">
        <v>49</v>
      </c>
      <c r="L4" s="2" t="s">
        <v>56</v>
      </c>
    </row>
    <row r="5">
      <c r="A5" s="6">
        <v>443.0</v>
      </c>
      <c r="B5" s="6">
        <v>13.0</v>
      </c>
      <c r="C5" s="2" t="s">
        <v>79</v>
      </c>
      <c r="D5" s="2" t="s">
        <v>80</v>
      </c>
      <c r="E5" s="6">
        <v>4000.0</v>
      </c>
      <c r="F5" s="2" t="s">
        <v>23</v>
      </c>
      <c r="G5" s="2" t="s">
        <v>81</v>
      </c>
      <c r="H5" s="2" t="s">
        <v>68</v>
      </c>
      <c r="I5" s="2" t="s">
        <v>33</v>
      </c>
      <c r="J5" s="11" t="s">
        <v>82</v>
      </c>
      <c r="K5" s="11" t="s">
        <v>84</v>
      </c>
      <c r="L5" s="2" t="s">
        <v>89</v>
      </c>
    </row>
    <row r="6">
      <c r="A6" s="6">
        <v>491.0</v>
      </c>
      <c r="B6" s="6">
        <v>8.0</v>
      </c>
      <c r="C6" s="2" t="s">
        <v>90</v>
      </c>
      <c r="D6" s="2" t="s">
        <v>91</v>
      </c>
      <c r="E6" s="6">
        <v>2300.0</v>
      </c>
      <c r="F6" s="2" t="s">
        <v>55</v>
      </c>
      <c r="G6" s="2" t="s">
        <v>92</v>
      </c>
      <c r="H6" s="8"/>
      <c r="I6" s="2" t="s">
        <v>33</v>
      </c>
      <c r="J6" s="11" t="s">
        <v>93</v>
      </c>
      <c r="K6" s="11" t="s">
        <v>101</v>
      </c>
      <c r="L6" s="2" t="s">
        <v>108</v>
      </c>
    </row>
    <row r="7">
      <c r="A7" s="6">
        <v>494.0</v>
      </c>
      <c r="B7" s="6">
        <v>14.0</v>
      </c>
      <c r="C7" s="2" t="s">
        <v>109</v>
      </c>
      <c r="D7" s="2" t="s">
        <v>42</v>
      </c>
      <c r="E7" s="6">
        <v>10000.0</v>
      </c>
      <c r="F7" s="2" t="s">
        <v>23</v>
      </c>
      <c r="G7" s="2" t="s">
        <v>110</v>
      </c>
      <c r="H7" s="8"/>
      <c r="I7" s="2" t="s">
        <v>33</v>
      </c>
      <c r="J7" s="11" t="s">
        <v>111</v>
      </c>
      <c r="K7" s="11" t="s">
        <v>116</v>
      </c>
      <c r="L7" s="2" t="s">
        <v>121</v>
      </c>
    </row>
    <row r="8">
      <c r="A8" s="6">
        <v>503.0</v>
      </c>
      <c r="B8" s="6">
        <v>21.0</v>
      </c>
      <c r="C8" s="2" t="s">
        <v>122</v>
      </c>
      <c r="D8" s="2" t="s">
        <v>123</v>
      </c>
      <c r="E8" s="6">
        <v>7000.0</v>
      </c>
      <c r="F8" s="2" t="s">
        <v>125</v>
      </c>
      <c r="G8" s="2" t="s">
        <v>126</v>
      </c>
      <c r="H8" s="8"/>
      <c r="I8" s="2" t="s">
        <v>33</v>
      </c>
      <c r="J8" s="11" t="s">
        <v>129</v>
      </c>
      <c r="K8" s="11" t="s">
        <v>135</v>
      </c>
      <c r="L8" s="2" t="s">
        <v>141</v>
      </c>
    </row>
    <row r="9">
      <c r="A9" s="6">
        <v>506.0</v>
      </c>
      <c r="B9" s="6">
        <v>4.0</v>
      </c>
      <c r="C9" s="2" t="s">
        <v>98</v>
      </c>
      <c r="D9" s="2" t="s">
        <v>42</v>
      </c>
      <c r="E9" s="6">
        <v>15000.0</v>
      </c>
      <c r="F9" s="2" t="s">
        <v>23</v>
      </c>
      <c r="G9" s="2" t="s">
        <v>142</v>
      </c>
      <c r="H9" s="8"/>
      <c r="I9" s="2" t="s">
        <v>33</v>
      </c>
      <c r="J9" s="11" t="s">
        <v>103</v>
      </c>
      <c r="K9" s="11" t="s">
        <v>145</v>
      </c>
      <c r="L9" s="2" t="s">
        <v>149</v>
      </c>
    </row>
    <row r="10">
      <c r="A10" s="6">
        <v>509.0</v>
      </c>
      <c r="B10" s="6">
        <v>9.0</v>
      </c>
      <c r="C10" s="2" t="s">
        <v>151</v>
      </c>
      <c r="D10" s="2" t="s">
        <v>152</v>
      </c>
      <c r="E10" s="6">
        <v>8500.0</v>
      </c>
      <c r="F10" s="2" t="s">
        <v>55</v>
      </c>
      <c r="G10" s="2" t="s">
        <v>68</v>
      </c>
      <c r="H10" s="8"/>
      <c r="I10" s="2" t="s">
        <v>33</v>
      </c>
      <c r="J10" s="11" t="s">
        <v>155</v>
      </c>
      <c r="K10" s="11" t="s">
        <v>164</v>
      </c>
      <c r="L10" s="2" t="s">
        <v>169</v>
      </c>
    </row>
    <row r="11">
      <c r="A11" s="6">
        <v>512.0</v>
      </c>
      <c r="B11" s="6">
        <v>10.0</v>
      </c>
      <c r="C11" s="2" t="s">
        <v>170</v>
      </c>
      <c r="D11" s="2" t="s">
        <v>171</v>
      </c>
      <c r="E11" s="6">
        <v>4500.0</v>
      </c>
      <c r="F11" s="2" t="s">
        <v>23</v>
      </c>
      <c r="G11" s="2" t="s">
        <v>172</v>
      </c>
      <c r="H11" s="8"/>
      <c r="I11" s="2" t="s">
        <v>33</v>
      </c>
      <c r="J11" s="11" t="s">
        <v>173</v>
      </c>
      <c r="K11" s="11" t="s">
        <v>180</v>
      </c>
      <c r="L11" s="2" t="s">
        <v>182</v>
      </c>
    </row>
    <row r="12">
      <c r="A12" s="6">
        <v>517.0</v>
      </c>
      <c r="B12" s="6">
        <v>5.0</v>
      </c>
      <c r="C12" s="2" t="s">
        <v>124</v>
      </c>
      <c r="D12" s="2" t="s">
        <v>42</v>
      </c>
      <c r="E12" s="6">
        <v>3500.0</v>
      </c>
      <c r="F12" s="2" t="s">
        <v>127</v>
      </c>
      <c r="G12" s="8" t="s">
        <v>188</v>
      </c>
      <c r="H12" s="8"/>
      <c r="I12" s="2" t="s">
        <v>46</v>
      </c>
      <c r="J12" s="11" t="s">
        <v>131</v>
      </c>
      <c r="K12" s="11" t="s">
        <v>194</v>
      </c>
      <c r="L12" s="2" t="s">
        <v>201</v>
      </c>
    </row>
    <row r="13">
      <c r="A13" s="6">
        <v>520.0</v>
      </c>
      <c r="B13" s="6">
        <v>14.0</v>
      </c>
      <c r="C13" s="2" t="s">
        <v>202</v>
      </c>
      <c r="D13" s="2" t="s">
        <v>42</v>
      </c>
      <c r="E13" s="6">
        <v>2500.0</v>
      </c>
      <c r="F13" s="2" t="s">
        <v>127</v>
      </c>
      <c r="G13" s="8" t="s">
        <v>203</v>
      </c>
      <c r="H13" s="8"/>
      <c r="I13" s="2" t="s">
        <v>46</v>
      </c>
      <c r="J13" s="11" t="s">
        <v>204</v>
      </c>
      <c r="K13" s="11" t="s">
        <v>206</v>
      </c>
      <c r="L13" s="2" t="s">
        <v>211</v>
      </c>
    </row>
    <row r="14">
      <c r="A14" s="6">
        <v>523.0</v>
      </c>
      <c r="B14" s="6">
        <v>13.0</v>
      </c>
      <c r="C14" s="2" t="s">
        <v>212</v>
      </c>
      <c r="D14" s="2" t="s">
        <v>76</v>
      </c>
      <c r="E14" s="6">
        <v>3400.0</v>
      </c>
      <c r="F14" s="2" t="s">
        <v>55</v>
      </c>
      <c r="G14" s="2" t="s">
        <v>213</v>
      </c>
      <c r="H14" s="8"/>
      <c r="I14" s="2" t="s">
        <v>46</v>
      </c>
      <c r="J14" s="11" t="s">
        <v>214</v>
      </c>
      <c r="K14" s="11" t="s">
        <v>217</v>
      </c>
      <c r="L14" s="2" t="s">
        <v>219</v>
      </c>
    </row>
    <row r="15">
      <c r="A15" s="6">
        <v>527.0</v>
      </c>
      <c r="B15" s="6">
        <v>21.0</v>
      </c>
      <c r="C15" s="2" t="s">
        <v>221</v>
      </c>
      <c r="D15" s="2" t="s">
        <v>76</v>
      </c>
      <c r="E15" s="6">
        <v>2000.0</v>
      </c>
      <c r="F15" s="2" t="s">
        <v>55</v>
      </c>
      <c r="G15" s="2" t="s">
        <v>44</v>
      </c>
      <c r="H15" s="2" t="s">
        <v>44</v>
      </c>
      <c r="I15" s="2" t="s">
        <v>46</v>
      </c>
      <c r="J15" s="11" t="s">
        <v>226</v>
      </c>
      <c r="K15" s="11" t="s">
        <v>228</v>
      </c>
      <c r="L15" s="2" t="s">
        <v>231</v>
      </c>
    </row>
    <row r="16">
      <c r="A16" s="6">
        <v>531.0</v>
      </c>
      <c r="B16" s="6">
        <v>4.0</v>
      </c>
      <c r="C16" s="2" t="s">
        <v>112</v>
      </c>
      <c r="D16" s="2" t="s">
        <v>80</v>
      </c>
      <c r="E16" s="6">
        <v>5500.0</v>
      </c>
      <c r="F16" s="2" t="s">
        <v>23</v>
      </c>
      <c r="G16" s="2" t="s">
        <v>113</v>
      </c>
      <c r="H16" s="2" t="s">
        <v>113</v>
      </c>
      <c r="I16" s="2" t="s">
        <v>46</v>
      </c>
      <c r="J16" s="11" t="s">
        <v>114</v>
      </c>
      <c r="K16" s="11" t="s">
        <v>232</v>
      </c>
      <c r="L16" s="2" t="s">
        <v>236</v>
      </c>
    </row>
    <row r="17">
      <c r="A17" s="6">
        <v>534.0</v>
      </c>
      <c r="B17" s="6">
        <v>20.0</v>
      </c>
      <c r="C17" s="2" t="s">
        <v>241</v>
      </c>
      <c r="D17" s="2" t="s">
        <v>243</v>
      </c>
      <c r="E17" s="6">
        <v>600.0</v>
      </c>
      <c r="F17" s="2" t="s">
        <v>55</v>
      </c>
      <c r="G17" s="2" t="s">
        <v>44</v>
      </c>
      <c r="H17" s="8"/>
      <c r="I17" s="2" t="s">
        <v>46</v>
      </c>
      <c r="J17" s="11" t="s">
        <v>244</v>
      </c>
      <c r="K17" s="11" t="s">
        <v>247</v>
      </c>
      <c r="L17" s="2" t="s">
        <v>251</v>
      </c>
    </row>
    <row r="18">
      <c r="A18" s="6">
        <v>537.0</v>
      </c>
      <c r="B18" s="6">
        <v>11.0</v>
      </c>
      <c r="C18" s="2" t="s">
        <v>240</v>
      </c>
      <c r="D18" s="2" t="s">
        <v>242</v>
      </c>
      <c r="E18" s="6">
        <v>2200.0</v>
      </c>
      <c r="F18" s="2" t="s">
        <v>55</v>
      </c>
      <c r="G18" s="2" t="s">
        <v>224</v>
      </c>
      <c r="H18" s="2" t="s">
        <v>224</v>
      </c>
      <c r="I18" s="2" t="s">
        <v>46</v>
      </c>
      <c r="J18" s="11" t="s">
        <v>245</v>
      </c>
      <c r="K18" s="11" t="s">
        <v>260</v>
      </c>
      <c r="L18" s="2" t="s">
        <v>266</v>
      </c>
    </row>
    <row r="19">
      <c r="A19" s="6">
        <v>540.0</v>
      </c>
      <c r="B19" s="6">
        <v>15.0</v>
      </c>
      <c r="C19" s="2" t="s">
        <v>254</v>
      </c>
      <c r="D19" s="2" t="s">
        <v>66</v>
      </c>
      <c r="E19" s="6">
        <v>1700.0</v>
      </c>
      <c r="F19" s="2" t="s">
        <v>55</v>
      </c>
      <c r="G19" s="8" t="s">
        <v>258</v>
      </c>
      <c r="H19" s="2" t="s">
        <v>44</v>
      </c>
      <c r="I19" s="2" t="s">
        <v>46</v>
      </c>
      <c r="J19" s="11" t="s">
        <v>267</v>
      </c>
      <c r="K19" s="11" t="s">
        <v>268</v>
      </c>
      <c r="L19" s="2" t="s">
        <v>273</v>
      </c>
    </row>
    <row r="20">
      <c r="A20" s="6">
        <v>546.0</v>
      </c>
      <c r="B20" s="6">
        <v>7.0</v>
      </c>
      <c r="C20" s="2" t="s">
        <v>175</v>
      </c>
      <c r="D20" s="2" t="s">
        <v>176</v>
      </c>
      <c r="E20" s="6">
        <v>18000.0</v>
      </c>
      <c r="F20" s="2" t="s">
        <v>29</v>
      </c>
      <c r="G20" s="2" t="s">
        <v>177</v>
      </c>
      <c r="H20" s="8"/>
      <c r="I20" s="2" t="s">
        <v>33</v>
      </c>
      <c r="J20" s="11" t="s">
        <v>179</v>
      </c>
      <c r="K20" s="11" t="s">
        <v>280</v>
      </c>
      <c r="L20" s="2" t="s">
        <v>282</v>
      </c>
    </row>
    <row r="21">
      <c r="A21" s="6">
        <v>549.0</v>
      </c>
      <c r="B21" s="6">
        <v>11.0</v>
      </c>
      <c r="C21" s="2" t="s">
        <v>248</v>
      </c>
      <c r="D21" s="2" t="s">
        <v>80</v>
      </c>
      <c r="E21" s="6">
        <v>3300.0</v>
      </c>
      <c r="F21" s="2" t="s">
        <v>55</v>
      </c>
      <c r="G21" s="2" t="s">
        <v>249</v>
      </c>
      <c r="H21" s="8"/>
      <c r="I21" s="2" t="s">
        <v>33</v>
      </c>
      <c r="J21" s="11" t="s">
        <v>250</v>
      </c>
      <c r="K21" s="11" t="s">
        <v>285</v>
      </c>
      <c r="L21" s="2" t="s">
        <v>289</v>
      </c>
    </row>
    <row r="22">
      <c r="A22" s="6">
        <v>552.0</v>
      </c>
      <c r="B22" s="6">
        <v>1.0</v>
      </c>
      <c r="C22" s="2" t="s">
        <v>41</v>
      </c>
      <c r="D22" s="2" t="s">
        <v>42</v>
      </c>
      <c r="E22" s="6">
        <v>4000.0</v>
      </c>
      <c r="F22" s="2" t="s">
        <v>23</v>
      </c>
      <c r="G22" s="2" t="s">
        <v>43</v>
      </c>
      <c r="H22" s="2" t="s">
        <v>44</v>
      </c>
      <c r="I22" s="2" t="s">
        <v>46</v>
      </c>
      <c r="J22" s="11" t="s">
        <v>48</v>
      </c>
      <c r="K22" s="11" t="s">
        <v>71</v>
      </c>
      <c r="L22" s="2" t="s">
        <v>78</v>
      </c>
    </row>
    <row r="23">
      <c r="A23" s="6">
        <v>555.0</v>
      </c>
      <c r="B23" s="6">
        <v>5.0</v>
      </c>
      <c r="C23" s="2" t="s">
        <v>138</v>
      </c>
      <c r="D23" s="2" t="s">
        <v>22</v>
      </c>
      <c r="E23" s="6">
        <v>36000.0</v>
      </c>
      <c r="F23" s="2" t="s">
        <v>139</v>
      </c>
      <c r="G23" s="8" t="s">
        <v>140</v>
      </c>
      <c r="H23" s="8"/>
      <c r="I23" s="2" t="s">
        <v>33</v>
      </c>
      <c r="J23" s="11" t="s">
        <v>144</v>
      </c>
      <c r="K23" s="11" t="s">
        <v>270</v>
      </c>
      <c r="L23" s="2" t="s">
        <v>274</v>
      </c>
    </row>
    <row r="24">
      <c r="A24" s="6">
        <v>558.0</v>
      </c>
      <c r="B24" s="6">
        <v>24.0</v>
      </c>
      <c r="C24" s="2" t="s">
        <v>183</v>
      </c>
      <c r="D24" s="2" t="s">
        <v>154</v>
      </c>
      <c r="E24" s="6">
        <v>5000.0</v>
      </c>
      <c r="F24" s="2" t="s">
        <v>55</v>
      </c>
      <c r="G24" s="8" t="s">
        <v>189</v>
      </c>
      <c r="H24" s="2" t="s">
        <v>190</v>
      </c>
      <c r="I24" s="2" t="s">
        <v>33</v>
      </c>
      <c r="J24" s="11" t="s">
        <v>308</v>
      </c>
      <c r="K24" s="11" t="s">
        <v>309</v>
      </c>
      <c r="L24" s="2" t="s">
        <v>315</v>
      </c>
    </row>
    <row r="25">
      <c r="A25" s="6">
        <v>561.0</v>
      </c>
      <c r="B25" s="6">
        <v>6.0</v>
      </c>
      <c r="C25" s="2" t="s">
        <v>153</v>
      </c>
      <c r="D25" s="2" t="s">
        <v>154</v>
      </c>
      <c r="E25" s="6">
        <v>7500.0</v>
      </c>
      <c r="F25" s="2" t="s">
        <v>23</v>
      </c>
      <c r="G25" s="2" t="s">
        <v>156</v>
      </c>
      <c r="H25" s="8"/>
      <c r="I25" s="2" t="s">
        <v>33</v>
      </c>
      <c r="J25" s="11" t="s">
        <v>159</v>
      </c>
      <c r="K25" s="11" t="s">
        <v>283</v>
      </c>
      <c r="L25" s="2" t="s">
        <v>287</v>
      </c>
    </row>
    <row r="26">
      <c r="A26" s="6">
        <v>564.0</v>
      </c>
      <c r="B26" s="6">
        <v>20.0</v>
      </c>
      <c r="C26" s="2" t="s">
        <v>323</v>
      </c>
      <c r="D26" s="2" t="s">
        <v>80</v>
      </c>
      <c r="E26" s="6">
        <v>2500.0</v>
      </c>
      <c r="F26" s="2" t="s">
        <v>23</v>
      </c>
      <c r="G26" s="2" t="s">
        <v>325</v>
      </c>
      <c r="H26" s="8"/>
      <c r="I26" s="2" t="s">
        <v>33</v>
      </c>
      <c r="J26" s="11" t="s">
        <v>326</v>
      </c>
      <c r="K26" s="11" t="s">
        <v>331</v>
      </c>
      <c r="L26" s="2" t="s">
        <v>335</v>
      </c>
    </row>
    <row r="27">
      <c r="A27" s="6">
        <v>567.0</v>
      </c>
      <c r="B27" s="6">
        <v>9.0</v>
      </c>
      <c r="C27" s="2" t="s">
        <v>222</v>
      </c>
      <c r="D27" s="2" t="s">
        <v>223</v>
      </c>
      <c r="E27" s="6">
        <v>3200.0</v>
      </c>
      <c r="F27" s="2" t="s">
        <v>55</v>
      </c>
      <c r="G27" s="2" t="s">
        <v>224</v>
      </c>
      <c r="H27" s="2" t="s">
        <v>225</v>
      </c>
      <c r="I27" s="2" t="s">
        <v>46</v>
      </c>
      <c r="J27" s="11" t="s">
        <v>227</v>
      </c>
      <c r="K27" s="11" t="s">
        <v>338</v>
      </c>
      <c r="L27" s="2" t="s">
        <v>342</v>
      </c>
    </row>
    <row r="28">
      <c r="A28" s="6">
        <v>570.0</v>
      </c>
      <c r="B28" s="6">
        <v>3.0</v>
      </c>
      <c r="C28" s="2" t="s">
        <v>83</v>
      </c>
      <c r="D28" s="2" t="s">
        <v>57</v>
      </c>
      <c r="E28" s="6">
        <v>6000.0</v>
      </c>
      <c r="F28" s="2" t="s">
        <v>55</v>
      </c>
      <c r="G28" s="2" t="s">
        <v>86</v>
      </c>
      <c r="H28" s="8"/>
      <c r="I28" s="2" t="s">
        <v>46</v>
      </c>
      <c r="J28" s="11" t="s">
        <v>88</v>
      </c>
      <c r="K28" s="11" t="s">
        <v>193</v>
      </c>
      <c r="L28" s="2" t="s">
        <v>200</v>
      </c>
    </row>
    <row r="29">
      <c r="A29" s="6">
        <v>1835.0</v>
      </c>
      <c r="B29" s="6">
        <v>10.0</v>
      </c>
      <c r="C29" s="2" t="s">
        <v>233</v>
      </c>
      <c r="D29" s="2" t="s">
        <v>95</v>
      </c>
      <c r="E29" s="6">
        <v>4500.0</v>
      </c>
      <c r="F29" s="14" t="s">
        <v>23</v>
      </c>
      <c r="G29" s="2" t="s">
        <v>234</v>
      </c>
      <c r="H29" s="2" t="s">
        <v>235</v>
      </c>
      <c r="I29" s="2" t="s">
        <v>46</v>
      </c>
      <c r="J29" s="11" t="s">
        <v>237</v>
      </c>
      <c r="K29" s="11" t="s">
        <v>350</v>
      </c>
      <c r="L29" s="2" t="s">
        <v>354</v>
      </c>
    </row>
    <row r="30">
      <c r="A30" s="6">
        <v>1907.0</v>
      </c>
      <c r="B30" s="6">
        <v>17.0</v>
      </c>
      <c r="C30" s="2" t="s">
        <v>305</v>
      </c>
      <c r="D30" s="2" t="s">
        <v>243</v>
      </c>
      <c r="E30" s="6">
        <v>6000.0</v>
      </c>
      <c r="F30" s="14" t="s">
        <v>127</v>
      </c>
      <c r="G30" s="2" t="s">
        <v>306</v>
      </c>
      <c r="H30" s="2" t="s">
        <v>185</v>
      </c>
      <c r="I30" s="2" t="s">
        <v>46</v>
      </c>
      <c r="J30" s="11" t="s">
        <v>307</v>
      </c>
      <c r="K30" s="11" t="s">
        <v>358</v>
      </c>
      <c r="L30" s="2" t="s">
        <v>359</v>
      </c>
    </row>
    <row r="31">
      <c r="A31" s="6">
        <v>1931.0</v>
      </c>
      <c r="B31" s="6">
        <v>18.0</v>
      </c>
      <c r="C31" s="2" t="s">
        <v>317</v>
      </c>
      <c r="D31" s="2" t="s">
        <v>318</v>
      </c>
      <c r="E31" s="6">
        <v>4500.0</v>
      </c>
      <c r="F31" s="14" t="s">
        <v>23</v>
      </c>
      <c r="G31" s="2" t="s">
        <v>319</v>
      </c>
      <c r="H31" s="8"/>
      <c r="I31" s="2" t="s">
        <v>33</v>
      </c>
      <c r="J31" s="11" t="s">
        <v>321</v>
      </c>
      <c r="K31" s="11" t="s">
        <v>364</v>
      </c>
      <c r="L31" s="2" t="s">
        <v>365</v>
      </c>
    </row>
    <row r="32">
      <c r="A32" s="6">
        <v>2306.0</v>
      </c>
      <c r="B32" s="6">
        <v>2.0</v>
      </c>
      <c r="C32" s="2" t="s">
        <v>65</v>
      </c>
      <c r="D32" s="2" t="s">
        <v>66</v>
      </c>
      <c r="E32" s="6">
        <v>3800.0</v>
      </c>
      <c r="F32" s="14" t="s">
        <v>23</v>
      </c>
      <c r="G32" s="2" t="s">
        <v>67</v>
      </c>
      <c r="H32" s="2" t="s">
        <v>68</v>
      </c>
      <c r="I32" s="2" t="s">
        <v>46</v>
      </c>
      <c r="J32" s="11" t="s">
        <v>69</v>
      </c>
      <c r="K32" s="11" t="s">
        <v>132</v>
      </c>
      <c r="L32" s="2" t="s">
        <v>137</v>
      </c>
    </row>
    <row r="33">
      <c r="A33" s="6">
        <v>2345.0</v>
      </c>
      <c r="B33" s="6">
        <v>22.0</v>
      </c>
      <c r="C33" s="2" t="s">
        <v>360</v>
      </c>
      <c r="D33" s="2" t="s">
        <v>242</v>
      </c>
      <c r="E33" s="6">
        <v>3500.0</v>
      </c>
      <c r="F33" s="14" t="s">
        <v>23</v>
      </c>
      <c r="G33" s="2" t="s">
        <v>361</v>
      </c>
      <c r="H33" s="2" t="s">
        <v>362</v>
      </c>
      <c r="I33" s="2" t="s">
        <v>33</v>
      </c>
      <c r="J33" s="11" t="s">
        <v>363</v>
      </c>
      <c r="K33" s="11" t="s">
        <v>376</v>
      </c>
      <c r="L33" s="2" t="s">
        <v>377</v>
      </c>
    </row>
    <row r="34">
      <c r="A34" s="6">
        <v>2366.0</v>
      </c>
      <c r="B34" s="6">
        <v>22.0</v>
      </c>
      <c r="C34" s="2" t="s">
        <v>366</v>
      </c>
      <c r="D34" s="2" t="s">
        <v>367</v>
      </c>
      <c r="E34" s="6">
        <v>3200.0</v>
      </c>
      <c r="F34" s="14" t="s">
        <v>369</v>
      </c>
      <c r="G34" s="2" t="s">
        <v>162</v>
      </c>
      <c r="H34" s="8"/>
      <c r="I34" s="2" t="s">
        <v>46</v>
      </c>
      <c r="J34" s="11" t="s">
        <v>371</v>
      </c>
      <c r="K34" s="11" t="s">
        <v>394</v>
      </c>
      <c r="L34" s="2" t="s">
        <v>397</v>
      </c>
    </row>
    <row r="35">
      <c r="A35" s="6">
        <v>2384.0</v>
      </c>
      <c r="B35" s="6">
        <v>23.0</v>
      </c>
      <c r="C35" s="2" t="s">
        <v>310</v>
      </c>
      <c r="D35" s="2" t="s">
        <v>76</v>
      </c>
      <c r="E35" s="6">
        <v>550.0</v>
      </c>
      <c r="F35" s="14" t="s">
        <v>23</v>
      </c>
      <c r="G35" s="2" t="s">
        <v>312</v>
      </c>
      <c r="H35" s="2" t="s">
        <v>312</v>
      </c>
      <c r="I35" s="2" t="s">
        <v>33</v>
      </c>
      <c r="J35" s="11" t="s">
        <v>375</v>
      </c>
      <c r="K35" s="11" t="s">
        <v>405</v>
      </c>
      <c r="L35" s="2" t="s">
        <v>406</v>
      </c>
    </row>
    <row r="36">
      <c r="A36" s="6">
        <v>2396.0</v>
      </c>
      <c r="B36" s="6">
        <v>16.0</v>
      </c>
      <c r="C36" s="2" t="s">
        <v>294</v>
      </c>
      <c r="D36" s="2" t="s">
        <v>161</v>
      </c>
      <c r="E36" s="6">
        <v>2200.0</v>
      </c>
      <c r="F36" s="14" t="s">
        <v>23</v>
      </c>
      <c r="G36" s="2" t="s">
        <v>162</v>
      </c>
      <c r="H36" s="2" t="s">
        <v>44</v>
      </c>
      <c r="I36" s="2" t="s">
        <v>46</v>
      </c>
      <c r="J36" s="11" t="s">
        <v>295</v>
      </c>
      <c r="K36" s="11" t="s">
        <v>409</v>
      </c>
      <c r="L36" s="2" t="s">
        <v>411</v>
      </c>
    </row>
    <row r="37">
      <c r="A37" s="6">
        <v>2409.0</v>
      </c>
      <c r="B37" s="6">
        <v>18.0</v>
      </c>
      <c r="C37" s="2" t="s">
        <v>322</v>
      </c>
      <c r="D37" s="2" t="s">
        <v>57</v>
      </c>
      <c r="E37" s="6">
        <v>1400.0</v>
      </c>
      <c r="F37" s="14" t="s">
        <v>23</v>
      </c>
      <c r="G37" s="2" t="s">
        <v>324</v>
      </c>
      <c r="H37" s="2" t="s">
        <v>68</v>
      </c>
      <c r="I37" s="2" t="s">
        <v>46</v>
      </c>
      <c r="J37" s="11" t="s">
        <v>328</v>
      </c>
      <c r="K37" s="11" t="s">
        <v>412</v>
      </c>
      <c r="L37" s="2" t="s">
        <v>414</v>
      </c>
    </row>
    <row r="38">
      <c r="A38" s="6">
        <v>2425.0</v>
      </c>
      <c r="B38" s="6">
        <v>19.0</v>
      </c>
      <c r="C38" s="2" t="s">
        <v>332</v>
      </c>
      <c r="D38" s="2" t="s">
        <v>242</v>
      </c>
      <c r="E38" s="6">
        <v>1500.0</v>
      </c>
      <c r="F38" s="14" t="s">
        <v>23</v>
      </c>
      <c r="G38" s="2" t="s">
        <v>333</v>
      </c>
      <c r="H38" s="2" t="s">
        <v>334</v>
      </c>
      <c r="I38" s="2" t="s">
        <v>33</v>
      </c>
      <c r="J38" s="11" t="s">
        <v>337</v>
      </c>
      <c r="K38" s="11" t="s">
        <v>416</v>
      </c>
      <c r="L38" s="2" t="s">
        <v>418</v>
      </c>
    </row>
    <row r="39">
      <c r="A39" s="6">
        <v>2504.0</v>
      </c>
      <c r="B39" s="6">
        <v>8.0</v>
      </c>
      <c r="C39" s="2" t="s">
        <v>37</v>
      </c>
      <c r="D39" s="2" t="s">
        <v>39</v>
      </c>
      <c r="E39" s="6">
        <v>7000.0</v>
      </c>
      <c r="F39" s="14" t="s">
        <v>45</v>
      </c>
      <c r="G39" s="2" t="s">
        <v>47</v>
      </c>
      <c r="H39" s="8"/>
      <c r="I39" s="2" t="s">
        <v>46</v>
      </c>
      <c r="J39" s="11" t="s">
        <v>210</v>
      </c>
      <c r="K39" s="11" t="s">
        <v>370</v>
      </c>
      <c r="L39" s="2" t="s">
        <v>373</v>
      </c>
    </row>
    <row r="40">
      <c r="A40" s="6">
        <v>2520.0</v>
      </c>
      <c r="B40" s="6">
        <v>16.0</v>
      </c>
      <c r="C40" s="2" t="s">
        <v>297</v>
      </c>
      <c r="D40" s="2" t="s">
        <v>298</v>
      </c>
      <c r="E40" s="6">
        <v>5500.0</v>
      </c>
      <c r="F40" s="14" t="s">
        <v>23</v>
      </c>
      <c r="G40" s="2" t="s">
        <v>300</v>
      </c>
      <c r="H40" s="2" t="s">
        <v>44</v>
      </c>
      <c r="I40" s="2" t="s">
        <v>33</v>
      </c>
      <c r="J40" s="11" t="s">
        <v>302</v>
      </c>
      <c r="K40" s="11" t="s">
        <v>422</v>
      </c>
      <c r="L40" s="2" t="s">
        <v>423</v>
      </c>
    </row>
    <row r="41">
      <c r="A41" s="6">
        <v>2838.0</v>
      </c>
      <c r="B41" s="6">
        <v>19.0</v>
      </c>
      <c r="C41" s="2" t="s">
        <v>102</v>
      </c>
      <c r="D41" s="2" t="s">
        <v>105</v>
      </c>
      <c r="E41" s="6">
        <v>750.0</v>
      </c>
      <c r="F41" s="2" t="s">
        <v>23</v>
      </c>
      <c r="G41" s="2" t="s">
        <v>106</v>
      </c>
      <c r="H41" s="8"/>
      <c r="I41" s="2" t="s">
        <v>46</v>
      </c>
      <c r="J41" s="11" t="s">
        <v>340</v>
      </c>
      <c r="K41" s="11" t="s">
        <v>427</v>
      </c>
      <c r="L41" s="2" t="s">
        <v>429</v>
      </c>
    </row>
    <row r="42">
      <c r="A42" s="6">
        <v>2842.0</v>
      </c>
      <c r="B42" s="6">
        <v>6.0</v>
      </c>
      <c r="C42" s="2" t="s">
        <v>165</v>
      </c>
      <c r="D42" s="2" t="s">
        <v>166</v>
      </c>
      <c r="E42" s="6">
        <v>2900.0</v>
      </c>
      <c r="F42" s="2" t="s">
        <v>23</v>
      </c>
      <c r="G42" s="2" t="s">
        <v>167</v>
      </c>
      <c r="H42" s="2" t="s">
        <v>68</v>
      </c>
      <c r="I42" s="2" t="s">
        <v>46</v>
      </c>
      <c r="J42" s="11" t="s">
        <v>168</v>
      </c>
      <c r="K42" s="11" t="s">
        <v>301</v>
      </c>
      <c r="L42" s="2" t="s">
        <v>303</v>
      </c>
    </row>
    <row r="43">
      <c r="A43" s="6">
        <v>2847.0</v>
      </c>
      <c r="B43" s="6">
        <v>7.0</v>
      </c>
      <c r="C43" s="2" t="s">
        <v>181</v>
      </c>
      <c r="D43" s="2" t="s">
        <v>42</v>
      </c>
      <c r="E43" s="6">
        <v>2600.0</v>
      </c>
      <c r="F43" s="2" t="s">
        <v>23</v>
      </c>
      <c r="G43" s="2" t="s">
        <v>184</v>
      </c>
      <c r="H43" s="2" t="s">
        <v>185</v>
      </c>
      <c r="I43" s="2" t="s">
        <v>46</v>
      </c>
      <c r="J43" s="11" t="s">
        <v>187</v>
      </c>
      <c r="K43" s="11" t="s">
        <v>341</v>
      </c>
      <c r="L43" s="2" t="s">
        <v>346</v>
      </c>
    </row>
    <row r="44">
      <c r="A44" s="6">
        <v>2850.0</v>
      </c>
      <c r="B44" s="6">
        <v>12.0</v>
      </c>
      <c r="C44" s="2" t="s">
        <v>252</v>
      </c>
      <c r="D44" s="2" t="s">
        <v>253</v>
      </c>
      <c r="E44" s="6">
        <v>3500.0</v>
      </c>
      <c r="F44" s="2" t="s">
        <v>23</v>
      </c>
      <c r="G44" s="8" t="s">
        <v>389</v>
      </c>
      <c r="H44" s="8"/>
      <c r="I44" s="2" t="s">
        <v>33</v>
      </c>
      <c r="J44" s="11" t="s">
        <v>257</v>
      </c>
      <c r="K44" s="11" t="s">
        <v>436</v>
      </c>
      <c r="L44" s="2" t="s">
        <v>437</v>
      </c>
    </row>
    <row r="45">
      <c r="A45" s="6">
        <v>2853.0</v>
      </c>
      <c r="B45" s="6">
        <v>15.0</v>
      </c>
      <c r="C45" s="2" t="s">
        <v>288</v>
      </c>
      <c r="D45" s="2" t="s">
        <v>253</v>
      </c>
      <c r="E45" s="6">
        <v>7500.0</v>
      </c>
      <c r="F45" s="2" t="s">
        <v>23</v>
      </c>
      <c r="G45" s="2" t="s">
        <v>290</v>
      </c>
      <c r="H45" s="2" t="s">
        <v>291</v>
      </c>
      <c r="I45" s="2" t="s">
        <v>33</v>
      </c>
      <c r="J45" s="11" t="s">
        <v>292</v>
      </c>
      <c r="K45" s="11" t="s">
        <v>440</v>
      </c>
      <c r="L45" s="2" t="s">
        <v>444</v>
      </c>
    </row>
    <row r="46">
      <c r="A46" s="6">
        <v>2860.0</v>
      </c>
      <c r="B46" s="6">
        <v>12.0</v>
      </c>
      <c r="C46" s="2" t="s">
        <v>261</v>
      </c>
      <c r="D46" s="2" t="s">
        <v>262</v>
      </c>
      <c r="E46" s="6">
        <v>4500.0</v>
      </c>
      <c r="F46" s="2" t="s">
        <v>23</v>
      </c>
      <c r="G46" s="2" t="s">
        <v>439</v>
      </c>
      <c r="H46" s="8"/>
      <c r="I46" s="2" t="s">
        <v>46</v>
      </c>
      <c r="J46" s="11" t="s">
        <v>264</v>
      </c>
      <c r="K46" s="11" t="s">
        <v>441</v>
      </c>
      <c r="L46" s="2" t="s">
        <v>446</v>
      </c>
    </row>
  </sheetData>
  <hyperlinks>
    <hyperlink r:id="rId1" ref="J2"/>
    <hyperlink r:id="rId2" ref="K2"/>
    <hyperlink r:id="rId3" ref="J3"/>
    <hyperlink r:id="rId4" ref="K3"/>
    <hyperlink r:id="rId5" ref="J4"/>
    <hyperlink r:id="rId6" ref="K4"/>
    <hyperlink r:id="rId7" ref="J5"/>
    <hyperlink r:id="rId8" ref="K5"/>
    <hyperlink r:id="rId9" ref="J6"/>
    <hyperlink r:id="rId10" ref="K6"/>
    <hyperlink r:id="rId11" ref="J7"/>
    <hyperlink r:id="rId12" ref="K7"/>
    <hyperlink r:id="rId13" ref="J8"/>
    <hyperlink r:id="rId14" ref="K8"/>
    <hyperlink r:id="rId15" ref="J9"/>
    <hyperlink r:id="rId16" ref="K9"/>
    <hyperlink r:id="rId17" ref="J10"/>
    <hyperlink r:id="rId18" ref="K10"/>
    <hyperlink r:id="rId19" ref="J11"/>
    <hyperlink r:id="rId20" ref="K11"/>
    <hyperlink r:id="rId21" ref="J12"/>
    <hyperlink r:id="rId22" ref="K12"/>
    <hyperlink r:id="rId23" ref="J13"/>
    <hyperlink r:id="rId24" ref="K13"/>
    <hyperlink r:id="rId25" ref="J14"/>
    <hyperlink r:id="rId26" ref="K14"/>
    <hyperlink r:id="rId27" ref="J15"/>
    <hyperlink r:id="rId28" ref="K15"/>
    <hyperlink r:id="rId29" ref="J16"/>
    <hyperlink r:id="rId30" ref="K16"/>
    <hyperlink r:id="rId31" ref="J17"/>
    <hyperlink r:id="rId32" ref="K17"/>
    <hyperlink r:id="rId33" ref="J18"/>
    <hyperlink r:id="rId34" ref="K18"/>
    <hyperlink r:id="rId35" ref="J19"/>
    <hyperlink r:id="rId36" ref="K19"/>
    <hyperlink r:id="rId37" ref="J20"/>
    <hyperlink r:id="rId38" ref="K20"/>
    <hyperlink r:id="rId39" ref="J21"/>
    <hyperlink r:id="rId40" ref="K21"/>
    <hyperlink r:id="rId41" ref="J22"/>
    <hyperlink r:id="rId42" ref="K22"/>
    <hyperlink r:id="rId43" ref="J23"/>
    <hyperlink r:id="rId44" ref="K23"/>
    <hyperlink r:id="rId45" ref="J24"/>
    <hyperlink r:id="rId46" ref="K24"/>
    <hyperlink r:id="rId47" ref="J25"/>
    <hyperlink r:id="rId48" ref="K25"/>
    <hyperlink r:id="rId49" ref="J26"/>
    <hyperlink r:id="rId50" ref="K26"/>
    <hyperlink r:id="rId51" ref="J27"/>
    <hyperlink r:id="rId52" ref="K27"/>
    <hyperlink r:id="rId53" ref="J28"/>
    <hyperlink r:id="rId54" ref="K28"/>
    <hyperlink r:id="rId55" ref="J29"/>
    <hyperlink r:id="rId56" ref="K29"/>
    <hyperlink r:id="rId57" ref="J30"/>
    <hyperlink r:id="rId58" ref="K30"/>
    <hyperlink r:id="rId59" ref="J31"/>
    <hyperlink r:id="rId60" ref="K31"/>
    <hyperlink r:id="rId61" ref="J32"/>
    <hyperlink r:id="rId62" ref="K32"/>
    <hyperlink r:id="rId63" ref="J33"/>
    <hyperlink r:id="rId64" ref="K33"/>
    <hyperlink r:id="rId65" ref="J34"/>
    <hyperlink r:id="rId66" ref="K34"/>
    <hyperlink r:id="rId67" ref="J35"/>
    <hyperlink r:id="rId68" ref="K35"/>
    <hyperlink r:id="rId69" ref="J36"/>
    <hyperlink r:id="rId70" ref="K36"/>
    <hyperlink r:id="rId71" ref="J37"/>
    <hyperlink r:id="rId72" ref="K37"/>
    <hyperlink r:id="rId73" ref="J38"/>
    <hyperlink r:id="rId74" ref="K38"/>
    <hyperlink r:id="rId75" ref="J39"/>
    <hyperlink r:id="rId76" ref="K39"/>
    <hyperlink r:id="rId77" ref="J40"/>
    <hyperlink r:id="rId78" ref="K40"/>
    <hyperlink r:id="rId79" ref="J41"/>
    <hyperlink r:id="rId80" ref="K41"/>
    <hyperlink r:id="rId81" ref="J42"/>
    <hyperlink r:id="rId82" ref="K42"/>
    <hyperlink r:id="rId83" ref="J43"/>
    <hyperlink r:id="rId84" ref="K43"/>
    <hyperlink r:id="rId85" ref="J44"/>
    <hyperlink r:id="rId86" ref="K44"/>
    <hyperlink r:id="rId87" ref="J45"/>
    <hyperlink r:id="rId88" ref="K45"/>
    <hyperlink r:id="rId89" ref="J46"/>
    <hyperlink r:id="rId90" ref="K46"/>
  </hyperlinks>
  <drawing r:id="rId9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71"/>
    <col customWidth="1" min="3" max="3" width="31.71"/>
    <col customWidth="1" min="4" max="4" width="32.86"/>
    <col customWidth="1" min="5" max="5" width="122.71"/>
    <col customWidth="1" min="6" max="6" width="22.57"/>
    <col customWidth="1" min="7" max="7" width="14.0"/>
    <col customWidth="1" min="8" max="8" width="26.86"/>
    <col customWidth="1" min="9" max="9" width="47.43"/>
    <col customWidth="1" min="10" max="10" width="24.57"/>
    <col customWidth="1" min="11" max="11" width="13.14"/>
    <col customWidth="1" min="12" max="12" width="77.14"/>
    <col customWidth="1" min="13" max="13" width="111.43"/>
    <col customWidth="1" min="14" max="24" width="8.71"/>
  </cols>
  <sheetData>
    <row r="1" ht="14.25" customHeight="1">
      <c r="A1" s="1" t="s">
        <v>1</v>
      </c>
      <c r="B1" s="3" t="s">
        <v>3</v>
      </c>
      <c r="C1" s="3" t="s">
        <v>6</v>
      </c>
      <c r="D1" s="5" t="s">
        <v>5</v>
      </c>
      <c r="E1" s="5" t="s">
        <v>11</v>
      </c>
      <c r="F1" s="5" t="s">
        <v>7</v>
      </c>
      <c r="G1" s="5" t="s">
        <v>8</v>
      </c>
      <c r="H1" s="5" t="s">
        <v>9</v>
      </c>
      <c r="I1" s="5" t="s">
        <v>12</v>
      </c>
      <c r="J1" s="5" t="s">
        <v>14</v>
      </c>
      <c r="K1" s="5" t="s">
        <v>16</v>
      </c>
      <c r="L1" s="5" t="s">
        <v>17</v>
      </c>
      <c r="M1" s="7" t="s">
        <v>18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4.25" customHeight="1">
      <c r="A2" s="9">
        <v>2425.0</v>
      </c>
      <c r="B2" s="10" t="str">
        <f>VLOOKUP(D2, Current!C:C, 2, false)</f>
        <v>#REF!</v>
      </c>
      <c r="C2" s="10">
        <v>8.0</v>
      </c>
      <c r="D2" s="10" t="s">
        <v>37</v>
      </c>
      <c r="E2" s="9" t="s">
        <v>38</v>
      </c>
      <c r="F2" s="12" t="s">
        <v>39</v>
      </c>
      <c r="G2" s="9">
        <v>7000.0</v>
      </c>
      <c r="H2" s="10" t="s">
        <v>45</v>
      </c>
      <c r="I2" s="9" t="s">
        <v>47</v>
      </c>
      <c r="K2" s="9" t="s">
        <v>46</v>
      </c>
      <c r="L2" s="13" t="s">
        <v>50</v>
      </c>
      <c r="M2" s="15" t="s">
        <v>63</v>
      </c>
    </row>
    <row r="3" ht="14.25" customHeight="1">
      <c r="A3" s="9">
        <v>558.0</v>
      </c>
      <c r="B3" s="10" t="str">
        <f>VLOOKUP(D3, Current!C:C, 2, false)</f>
        <v>#REF!</v>
      </c>
      <c r="C3" s="10">
        <v>21.0</v>
      </c>
      <c r="D3" s="9" t="s">
        <v>74</v>
      </c>
      <c r="E3" s="9" t="s">
        <v>75</v>
      </c>
      <c r="F3" s="9" t="s">
        <v>76</v>
      </c>
      <c r="G3" s="9">
        <v>2000.0</v>
      </c>
      <c r="H3" s="9" t="s">
        <v>55</v>
      </c>
      <c r="I3" s="9" t="s">
        <v>44</v>
      </c>
      <c r="K3" s="9" t="s">
        <v>46</v>
      </c>
      <c r="L3" s="13" t="s">
        <v>77</v>
      </c>
      <c r="M3" s="15" t="s">
        <v>85</v>
      </c>
    </row>
    <row r="4" ht="14.25" customHeight="1">
      <c r="A4" s="9">
        <v>527.0</v>
      </c>
      <c r="B4" s="10" t="str">
        <f>VLOOKUP(D4, Current!C:C, 2, false)</f>
        <v>#REF!</v>
      </c>
      <c r="C4" s="10">
        <v>19.0</v>
      </c>
      <c r="D4" s="10" t="s">
        <v>102</v>
      </c>
      <c r="E4" s="9" t="s">
        <v>104</v>
      </c>
      <c r="F4" s="9" t="s">
        <v>105</v>
      </c>
      <c r="G4" s="9">
        <v>750.0</v>
      </c>
      <c r="H4" s="9" t="s">
        <v>23</v>
      </c>
      <c r="I4" s="9" t="s">
        <v>106</v>
      </c>
      <c r="K4" s="9" t="s">
        <v>46</v>
      </c>
      <c r="L4" s="13" t="s">
        <v>107</v>
      </c>
      <c r="M4" s="15" t="s">
        <v>115</v>
      </c>
    </row>
    <row r="5" ht="14.25" customHeight="1">
      <c r="A5" s="9">
        <v>1835.0</v>
      </c>
      <c r="B5" s="10" t="str">
        <f>VLOOKUP(D5, Current!C:C, 2, false)</f>
        <v>#REF!</v>
      </c>
      <c r="C5" s="10">
        <v>3.0</v>
      </c>
      <c r="D5" s="10" t="s">
        <v>133</v>
      </c>
      <c r="E5" s="9" t="s">
        <v>134</v>
      </c>
      <c r="F5" s="9" t="s">
        <v>57</v>
      </c>
      <c r="G5" s="9">
        <v>6000.0</v>
      </c>
      <c r="H5" s="9" t="s">
        <v>55</v>
      </c>
      <c r="I5" s="9" t="s">
        <v>86</v>
      </c>
      <c r="K5" s="9" t="s">
        <v>46</v>
      </c>
      <c r="L5" s="13" t="s">
        <v>136</v>
      </c>
      <c r="M5" s="15" t="s">
        <v>143</v>
      </c>
    </row>
    <row r="6" ht="14.25" customHeight="1">
      <c r="A6" s="9">
        <v>2409.0</v>
      </c>
      <c r="B6" s="10" t="str">
        <f>VLOOKUP(D6, Current!C:C, 2, false)</f>
        <v>#REF!</v>
      </c>
      <c r="C6" s="10">
        <v>16.0</v>
      </c>
      <c r="D6" s="10" t="s">
        <v>157</v>
      </c>
      <c r="E6" s="9" t="s">
        <v>160</v>
      </c>
      <c r="F6" s="9" t="s">
        <v>161</v>
      </c>
      <c r="G6" s="9">
        <v>2200.0</v>
      </c>
      <c r="H6" s="9" t="s">
        <v>23</v>
      </c>
      <c r="I6" s="9" t="s">
        <v>162</v>
      </c>
      <c r="J6" s="9" t="s">
        <v>44</v>
      </c>
      <c r="K6" s="9" t="s">
        <v>46</v>
      </c>
      <c r="L6" s="13" t="s">
        <v>163</v>
      </c>
      <c r="M6" s="15" t="s">
        <v>174</v>
      </c>
    </row>
    <row r="7" ht="14.25" customHeight="1">
      <c r="A7" s="9">
        <v>2520.0</v>
      </c>
      <c r="B7" s="10" t="str">
        <f>VLOOKUP(D7, Current!C:C, 2, false)</f>
        <v>#REF!</v>
      </c>
      <c r="C7" s="10">
        <v>24.0</v>
      </c>
      <c r="D7" s="9" t="s">
        <v>183</v>
      </c>
      <c r="E7" s="9" t="s">
        <v>186</v>
      </c>
      <c r="F7" s="9" t="s">
        <v>154</v>
      </c>
      <c r="G7" s="9">
        <v>5000.0</v>
      </c>
      <c r="H7" s="9" t="s">
        <v>55</v>
      </c>
      <c r="I7" s="10" t="s">
        <v>189</v>
      </c>
      <c r="J7" s="9" t="s">
        <v>190</v>
      </c>
      <c r="K7" s="9" t="s">
        <v>33</v>
      </c>
      <c r="L7" s="13" t="s">
        <v>191</v>
      </c>
      <c r="M7" s="15" t="s">
        <v>195</v>
      </c>
    </row>
    <row r="8" ht="14.25" customHeight="1">
      <c r="A8" s="9">
        <v>439.0</v>
      </c>
      <c r="B8" s="10" t="str">
        <f>VLOOKUP(D8, Current!C:C, 2, false)</f>
        <v>#REF!</v>
      </c>
      <c r="C8" s="10">
        <v>1.0</v>
      </c>
      <c r="D8" s="9" t="s">
        <v>21</v>
      </c>
      <c r="E8" s="9" t="s">
        <v>207</v>
      </c>
      <c r="F8" s="9" t="s">
        <v>22</v>
      </c>
      <c r="G8" s="9">
        <v>10500.0</v>
      </c>
      <c r="H8" s="9" t="s">
        <v>23</v>
      </c>
      <c r="I8" s="9" t="s">
        <v>31</v>
      </c>
      <c r="K8" s="9" t="s">
        <v>33</v>
      </c>
      <c r="L8" s="13" t="s">
        <v>208</v>
      </c>
      <c r="M8" s="15" t="s">
        <v>215</v>
      </c>
    </row>
    <row r="9" ht="14.25" customHeight="1">
      <c r="A9" s="9">
        <v>509.0</v>
      </c>
      <c r="B9" s="10" t="str">
        <f>VLOOKUP(D9, Current!C:C, 2, false)</f>
        <v>#REF!</v>
      </c>
      <c r="C9" s="10">
        <v>9.0</v>
      </c>
      <c r="D9" s="9" t="s">
        <v>151</v>
      </c>
      <c r="E9" s="9" t="s">
        <v>218</v>
      </c>
      <c r="F9" s="9" t="s">
        <v>152</v>
      </c>
      <c r="G9" s="9">
        <v>8500.0</v>
      </c>
      <c r="H9" s="9" t="s">
        <v>55</v>
      </c>
      <c r="I9" s="9" t="s">
        <v>68</v>
      </c>
      <c r="K9" s="9" t="s">
        <v>33</v>
      </c>
      <c r="L9" s="13" t="s">
        <v>220</v>
      </c>
      <c r="M9" s="15" t="s">
        <v>229</v>
      </c>
    </row>
    <row r="10" ht="14.25" customHeight="1">
      <c r="A10" s="9">
        <v>552.0</v>
      </c>
      <c r="B10" s="10" t="str">
        <f>VLOOKUP(D10, Current!C:C, 2, false)</f>
        <v>#REF!</v>
      </c>
      <c r="C10" s="10">
        <v>1.0</v>
      </c>
      <c r="D10" s="9" t="s">
        <v>41</v>
      </c>
      <c r="E10" s="9" t="s">
        <v>238</v>
      </c>
      <c r="F10" s="9" t="s">
        <v>42</v>
      </c>
      <c r="G10" s="9">
        <v>4000.0</v>
      </c>
      <c r="H10" s="9" t="s">
        <v>23</v>
      </c>
      <c r="I10" s="9" t="s">
        <v>43</v>
      </c>
      <c r="J10" s="9" t="s">
        <v>44</v>
      </c>
      <c r="K10" s="9" t="s">
        <v>46</v>
      </c>
      <c r="L10" s="13" t="s">
        <v>239</v>
      </c>
      <c r="M10" s="15" t="s">
        <v>246</v>
      </c>
    </row>
    <row r="11" ht="14.25" customHeight="1">
      <c r="A11" s="9">
        <v>2345.0</v>
      </c>
      <c r="B11" s="10" t="str">
        <f>VLOOKUP(D11, Current!C:C, 2, false)</f>
        <v>#REF!</v>
      </c>
      <c r="C11" s="10">
        <v>15.0</v>
      </c>
      <c r="D11" s="10" t="s">
        <v>254</v>
      </c>
      <c r="E11" s="9" t="s">
        <v>256</v>
      </c>
      <c r="F11" s="10" t="s">
        <v>66</v>
      </c>
      <c r="G11" s="9">
        <v>1700.0</v>
      </c>
      <c r="H11" s="9" t="s">
        <v>55</v>
      </c>
      <c r="I11" s="10" t="s">
        <v>258</v>
      </c>
      <c r="J11" s="9" t="s">
        <v>44</v>
      </c>
      <c r="K11" s="9" t="s">
        <v>46</v>
      </c>
      <c r="L11" s="13" t="s">
        <v>259</v>
      </c>
      <c r="M11" s="15" t="s">
        <v>265</v>
      </c>
    </row>
    <row r="12" ht="14.25" customHeight="1">
      <c r="A12" s="9">
        <v>567.0</v>
      </c>
      <c r="B12" s="10" t="str">
        <f>VLOOKUP(D12, Current!C:C, 2, false)</f>
        <v>#REF!</v>
      </c>
      <c r="C12" s="10">
        <v>2.0</v>
      </c>
      <c r="D12" s="10" t="s">
        <v>269</v>
      </c>
      <c r="E12" s="9" t="s">
        <v>271</v>
      </c>
      <c r="F12" s="10" t="s">
        <v>66</v>
      </c>
      <c r="G12" s="9">
        <v>3800.0</v>
      </c>
      <c r="H12" s="20" t="s">
        <v>23</v>
      </c>
      <c r="I12" s="10" t="s">
        <v>275</v>
      </c>
      <c r="J12" s="9" t="s">
        <v>68</v>
      </c>
      <c r="K12" s="9" t="s">
        <v>46</v>
      </c>
      <c r="L12" s="13" t="s">
        <v>276</v>
      </c>
      <c r="M12" s="15" t="s">
        <v>281</v>
      </c>
    </row>
    <row r="13" ht="14.25" customHeight="1">
      <c r="A13" s="9">
        <v>443.0</v>
      </c>
      <c r="B13" s="10" t="str">
        <f>VLOOKUP(D13, Current!C:C, 2, false)</f>
        <v>#REF!</v>
      </c>
      <c r="C13" s="10">
        <v>21.0</v>
      </c>
      <c r="D13" s="9" t="s">
        <v>122</v>
      </c>
      <c r="E13" s="9" t="s">
        <v>284</v>
      </c>
      <c r="F13" s="9" t="s">
        <v>123</v>
      </c>
      <c r="G13" s="9">
        <v>7000.0</v>
      </c>
      <c r="H13" s="10" t="s">
        <v>125</v>
      </c>
      <c r="I13" s="9" t="s">
        <v>126</v>
      </c>
      <c r="K13" s="9" t="s">
        <v>33</v>
      </c>
      <c r="L13" s="13" t="s">
        <v>286</v>
      </c>
      <c r="M13" s="15" t="s">
        <v>293</v>
      </c>
    </row>
    <row r="14" ht="14.25" customHeight="1">
      <c r="A14" s="9">
        <v>433.0</v>
      </c>
      <c r="B14" s="10" t="str">
        <f>VLOOKUP(D14, Current!C:C, 2, false)</f>
        <v>#REF!</v>
      </c>
      <c r="C14" s="10">
        <v>3.0</v>
      </c>
      <c r="D14" s="9" t="s">
        <v>27</v>
      </c>
      <c r="E14" s="9" t="s">
        <v>296</v>
      </c>
      <c r="F14" s="9" t="s">
        <v>28</v>
      </c>
      <c r="G14" s="9">
        <v>22000.0</v>
      </c>
      <c r="H14" s="9" t="s">
        <v>29</v>
      </c>
      <c r="I14" s="9" t="s">
        <v>30</v>
      </c>
      <c r="K14" s="9" t="s">
        <v>33</v>
      </c>
      <c r="L14" s="13" t="s">
        <v>299</v>
      </c>
      <c r="M14" s="15" t="s">
        <v>304</v>
      </c>
    </row>
    <row r="15" ht="14.25" customHeight="1">
      <c r="A15" s="9">
        <v>2853.0</v>
      </c>
      <c r="B15" s="10" t="str">
        <f>VLOOKUP(D15, Current!C:C, 2, false)</f>
        <v>#REF!</v>
      </c>
      <c r="C15" s="10">
        <v>23.0</v>
      </c>
      <c r="D15" s="9" t="s">
        <v>310</v>
      </c>
      <c r="E15" s="9" t="s">
        <v>311</v>
      </c>
      <c r="F15" s="9" t="s">
        <v>76</v>
      </c>
      <c r="G15" s="9">
        <v>550.0</v>
      </c>
      <c r="H15" s="20" t="s">
        <v>23</v>
      </c>
      <c r="I15" s="9" t="s">
        <v>312</v>
      </c>
      <c r="J15" s="9" t="s">
        <v>312</v>
      </c>
      <c r="K15" s="9" t="s">
        <v>33</v>
      </c>
      <c r="L15" s="13" t="s">
        <v>313</v>
      </c>
      <c r="M15" s="15" t="s">
        <v>320</v>
      </c>
    </row>
    <row r="16" ht="14.25" customHeight="1">
      <c r="A16" s="9">
        <v>2830.0</v>
      </c>
      <c r="B16" s="6">
        <v>549.0</v>
      </c>
      <c r="C16" s="10">
        <v>11.0</v>
      </c>
      <c r="D16" s="9" t="s">
        <v>327</v>
      </c>
      <c r="E16" s="9" t="s">
        <v>329</v>
      </c>
      <c r="F16" s="9" t="s">
        <v>80</v>
      </c>
      <c r="G16" s="9">
        <v>3300.0</v>
      </c>
      <c r="H16" s="9" t="s">
        <v>55</v>
      </c>
      <c r="I16" s="9" t="s">
        <v>249</v>
      </c>
      <c r="K16" s="9" t="s">
        <v>33</v>
      </c>
      <c r="L16" s="13" t="s">
        <v>330</v>
      </c>
      <c r="M16" s="15" t="s">
        <v>336</v>
      </c>
    </row>
    <row r="17" ht="14.25" customHeight="1">
      <c r="A17" s="9">
        <v>2842.0</v>
      </c>
      <c r="B17" s="10" t="str">
        <f>VLOOKUP(D17, Current!C:C, 2, false)</f>
        <v>#REF!</v>
      </c>
      <c r="C17" s="10">
        <v>16.0</v>
      </c>
      <c r="D17" s="9" t="s">
        <v>297</v>
      </c>
      <c r="E17" s="9" t="s">
        <v>343</v>
      </c>
      <c r="F17" s="10" t="s">
        <v>42</v>
      </c>
      <c r="G17" s="9">
        <v>5500.0</v>
      </c>
      <c r="H17" s="20" t="s">
        <v>23</v>
      </c>
      <c r="I17" s="9" t="s">
        <v>300</v>
      </c>
      <c r="J17" s="9" t="s">
        <v>44</v>
      </c>
      <c r="K17" s="9" t="s">
        <v>33</v>
      </c>
      <c r="L17" s="13" t="s">
        <v>345</v>
      </c>
      <c r="M17" s="15" t="s">
        <v>349</v>
      </c>
    </row>
    <row r="18" ht="14.25" customHeight="1">
      <c r="A18" s="9">
        <v>520.0</v>
      </c>
      <c r="B18" s="10">
        <v>567.0</v>
      </c>
      <c r="C18" s="10">
        <v>9.0</v>
      </c>
      <c r="D18" s="9" t="s">
        <v>352</v>
      </c>
      <c r="E18" s="9" t="s">
        <v>353</v>
      </c>
      <c r="F18" s="10" t="s">
        <v>223</v>
      </c>
      <c r="G18" s="9">
        <v>3200.0</v>
      </c>
      <c r="H18" s="9" t="s">
        <v>55</v>
      </c>
      <c r="I18" s="9" t="s">
        <v>224</v>
      </c>
      <c r="J18" s="9" t="s">
        <v>225</v>
      </c>
      <c r="K18" s="9" t="s">
        <v>46</v>
      </c>
      <c r="L18" s="13" t="s">
        <v>355</v>
      </c>
      <c r="M18" s="15" t="s">
        <v>357</v>
      </c>
    </row>
    <row r="19" ht="14.25" customHeight="1">
      <c r="A19" s="9">
        <v>2860.0</v>
      </c>
      <c r="B19" s="10" t="str">
        <f>VLOOKUP(D19, Current!C:C, 2, false)</f>
        <v>#REF!</v>
      </c>
      <c r="C19" s="10">
        <v>5.0</v>
      </c>
      <c r="D19" s="9" t="s">
        <v>124</v>
      </c>
      <c r="E19" s="9" t="s">
        <v>368</v>
      </c>
      <c r="F19" s="9" t="s">
        <v>42</v>
      </c>
      <c r="G19" s="9">
        <v>3500.0</v>
      </c>
      <c r="H19" s="9" t="s">
        <v>127</v>
      </c>
      <c r="I19" s="10" t="s">
        <v>188</v>
      </c>
      <c r="K19" s="9" t="s">
        <v>46</v>
      </c>
      <c r="L19" s="13" t="s">
        <v>372</v>
      </c>
      <c r="M19" s="15" t="s">
        <v>374</v>
      </c>
    </row>
    <row r="20" ht="14.25" customHeight="1">
      <c r="A20" s="24">
        <v>2306.0</v>
      </c>
      <c r="B20" s="10" t="str">
        <f>VLOOKUP(D20, Current!C:C, 2, false)</f>
        <v>#REF!</v>
      </c>
      <c r="C20" s="10">
        <v>12.0</v>
      </c>
      <c r="D20" s="24" t="s">
        <v>383</v>
      </c>
      <c r="E20" s="24" t="s">
        <v>385</v>
      </c>
      <c r="F20" s="24" t="s">
        <v>253</v>
      </c>
      <c r="G20" s="24">
        <v>3500.0</v>
      </c>
      <c r="H20" s="24" t="s">
        <v>23</v>
      </c>
      <c r="I20" s="25" t="s">
        <v>389</v>
      </c>
      <c r="J20" s="24"/>
      <c r="K20" s="24" t="s">
        <v>33</v>
      </c>
      <c r="L20" s="27" t="s">
        <v>393</v>
      </c>
      <c r="M20" s="29" t="s">
        <v>399</v>
      </c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 ht="14.25" customHeight="1">
      <c r="A21" s="9">
        <v>555.0</v>
      </c>
      <c r="B21" s="10" t="str">
        <f>VLOOKUP(D21, Current!C:C, 2, false)</f>
        <v>#REF!</v>
      </c>
      <c r="C21" s="10">
        <v>5.0</v>
      </c>
      <c r="D21" s="9" t="s">
        <v>138</v>
      </c>
      <c r="E21" s="9" t="s">
        <v>407</v>
      </c>
      <c r="F21" s="9" t="s">
        <v>22</v>
      </c>
      <c r="G21" s="9">
        <v>36000.0</v>
      </c>
      <c r="H21" s="9" t="s">
        <v>139</v>
      </c>
      <c r="I21" s="30" t="s">
        <v>140</v>
      </c>
      <c r="K21" s="9" t="s">
        <v>33</v>
      </c>
      <c r="L21" s="13" t="s">
        <v>408</v>
      </c>
      <c r="M21" s="15" t="s">
        <v>410</v>
      </c>
    </row>
    <row r="22" ht="14.25" customHeight="1">
      <c r="A22" s="9">
        <v>491.0</v>
      </c>
      <c r="B22" s="10" t="str">
        <f>VLOOKUP(D22, Current!C:C, 2, false)</f>
        <v>#REF!</v>
      </c>
      <c r="C22" s="10">
        <v>8.0</v>
      </c>
      <c r="D22" s="9" t="s">
        <v>90</v>
      </c>
      <c r="E22" s="9" t="s">
        <v>413</v>
      </c>
      <c r="F22" s="9" t="s">
        <v>91</v>
      </c>
      <c r="G22" s="9">
        <v>2300.0</v>
      </c>
      <c r="H22" s="9" t="s">
        <v>55</v>
      </c>
      <c r="I22" s="9" t="s">
        <v>92</v>
      </c>
      <c r="K22" s="9" t="s">
        <v>33</v>
      </c>
      <c r="L22" s="13" t="s">
        <v>415</v>
      </c>
      <c r="M22" s="15" t="s">
        <v>417</v>
      </c>
    </row>
    <row r="23" ht="14.25" customHeight="1">
      <c r="A23" s="9">
        <v>561.0</v>
      </c>
      <c r="B23" s="10" t="str">
        <f>VLOOKUP(D23, Current!C:C, 2, false)</f>
        <v>#REF!</v>
      </c>
      <c r="C23" s="10">
        <v>6.0</v>
      </c>
      <c r="D23" s="9" t="s">
        <v>153</v>
      </c>
      <c r="E23" s="9" t="s">
        <v>419</v>
      </c>
      <c r="F23" s="9" t="s">
        <v>154</v>
      </c>
      <c r="G23" s="9">
        <v>7500.0</v>
      </c>
      <c r="H23" s="9" t="s">
        <v>23</v>
      </c>
      <c r="I23" s="9" t="s">
        <v>156</v>
      </c>
      <c r="K23" s="9" t="s">
        <v>33</v>
      </c>
      <c r="L23" s="13" t="s">
        <v>420</v>
      </c>
      <c r="M23" s="15" t="s">
        <v>421</v>
      </c>
    </row>
    <row r="24" ht="14.25" customHeight="1">
      <c r="A24" s="9">
        <v>564.0</v>
      </c>
      <c r="B24" s="10" t="str">
        <f>VLOOKUP(D24, Current!C:C, 2, false)</f>
        <v>#REF!</v>
      </c>
      <c r="C24" s="10">
        <v>10.0</v>
      </c>
      <c r="D24" s="10" t="s">
        <v>424</v>
      </c>
      <c r="E24" s="9" t="s">
        <v>425</v>
      </c>
      <c r="F24" s="9" t="s">
        <v>95</v>
      </c>
      <c r="G24" s="9">
        <v>4500.0</v>
      </c>
      <c r="H24" s="20" t="s">
        <v>23</v>
      </c>
      <c r="I24" s="9" t="s">
        <v>234</v>
      </c>
      <c r="J24" s="9" t="s">
        <v>235</v>
      </c>
      <c r="K24" s="9" t="s">
        <v>46</v>
      </c>
      <c r="L24" s="13" t="s">
        <v>426</v>
      </c>
      <c r="M24" s="15" t="s">
        <v>428</v>
      </c>
    </row>
    <row r="25" ht="14.25" customHeight="1">
      <c r="A25" s="9">
        <v>2504.0</v>
      </c>
      <c r="B25" s="10" t="str">
        <f>VLOOKUP(D25, Current!C:C, 2, false)</f>
        <v>#REF!</v>
      </c>
      <c r="C25" s="10">
        <v>18.0</v>
      </c>
      <c r="D25" s="9" t="s">
        <v>317</v>
      </c>
      <c r="E25" s="9" t="s">
        <v>430</v>
      </c>
      <c r="F25" s="9" t="s">
        <v>318</v>
      </c>
      <c r="G25" s="9">
        <v>4500.0</v>
      </c>
      <c r="H25" s="20" t="s">
        <v>23</v>
      </c>
      <c r="I25" s="9" t="s">
        <v>319</v>
      </c>
      <c r="K25" s="9" t="s">
        <v>33</v>
      </c>
      <c r="L25" s="13" t="s">
        <v>431</v>
      </c>
      <c r="M25" s="15" t="s">
        <v>432</v>
      </c>
    </row>
    <row r="26" ht="14.25" customHeight="1">
      <c r="A26" s="9">
        <v>503.0</v>
      </c>
      <c r="B26" s="10" t="str">
        <f>VLOOKUP(D26, Current!C:C, 2, false)</f>
        <v>#REF!</v>
      </c>
      <c r="C26" s="10">
        <v>13.0</v>
      </c>
      <c r="D26" s="10" t="s">
        <v>433</v>
      </c>
      <c r="E26" s="9" t="s">
        <v>434</v>
      </c>
      <c r="F26" s="10" t="s">
        <v>76</v>
      </c>
      <c r="G26" s="9">
        <v>3400.0</v>
      </c>
      <c r="H26" s="9" t="s">
        <v>55</v>
      </c>
      <c r="I26" s="9" t="s">
        <v>213</v>
      </c>
      <c r="K26" s="9" t="s">
        <v>46</v>
      </c>
      <c r="L26" s="13" t="s">
        <v>435</v>
      </c>
      <c r="M26" s="15" t="s">
        <v>438</v>
      </c>
    </row>
    <row r="27" ht="14.25" customHeight="1">
      <c r="A27" s="9">
        <v>2847.0</v>
      </c>
      <c r="B27" s="10" t="str">
        <f>VLOOKUP(D27, Current!C:C, 2, false)</f>
        <v>#REF!</v>
      </c>
      <c r="C27" s="31">
        <v>17.0</v>
      </c>
      <c r="D27" s="9" t="s">
        <v>314</v>
      </c>
      <c r="E27" s="9" t="s">
        <v>442</v>
      </c>
      <c r="F27" s="10" t="s">
        <v>443</v>
      </c>
      <c r="G27" s="9">
        <v>3500.0</v>
      </c>
      <c r="H27" s="20" t="s">
        <v>23</v>
      </c>
      <c r="I27" s="9" t="s">
        <v>316</v>
      </c>
      <c r="J27" s="9" t="s">
        <v>44</v>
      </c>
      <c r="K27" s="9" t="s">
        <v>33</v>
      </c>
      <c r="L27" s="13" t="s">
        <v>445</v>
      </c>
      <c r="M27" s="15" t="s">
        <v>447</v>
      </c>
    </row>
    <row r="28" ht="14.25" customHeight="1">
      <c r="A28" s="9">
        <v>570.0</v>
      </c>
      <c r="B28" s="10" t="str">
        <f>VLOOKUP(D28, Current!C:C, 2, false)</f>
        <v>#REF!</v>
      </c>
      <c r="C28" s="10">
        <v>13.0</v>
      </c>
      <c r="D28" s="9" t="s">
        <v>79</v>
      </c>
      <c r="E28" s="9" t="s">
        <v>448</v>
      </c>
      <c r="F28" s="32" t="s">
        <v>80</v>
      </c>
      <c r="G28" s="9">
        <v>4000.0</v>
      </c>
      <c r="H28" s="20" t="s">
        <v>23</v>
      </c>
      <c r="I28" s="32" t="s">
        <v>81</v>
      </c>
      <c r="J28" s="32" t="s">
        <v>68</v>
      </c>
      <c r="K28" s="9" t="s">
        <v>33</v>
      </c>
      <c r="L28" s="13" t="s">
        <v>449</v>
      </c>
      <c r="M28" s="15" t="s">
        <v>450</v>
      </c>
    </row>
    <row r="29" ht="14.25" customHeight="1">
      <c r="A29" s="9">
        <v>512.0</v>
      </c>
      <c r="B29" s="10" t="str">
        <f>VLOOKUP(D29, Current!C:C, 2, false)</f>
        <v>#REF!</v>
      </c>
      <c r="C29" s="10">
        <v>10.0</v>
      </c>
      <c r="D29" s="9" t="s">
        <v>170</v>
      </c>
      <c r="E29" s="9" t="s">
        <v>451</v>
      </c>
      <c r="F29" s="9" t="s">
        <v>171</v>
      </c>
      <c r="G29" s="9">
        <v>4500.0</v>
      </c>
      <c r="H29" s="9" t="s">
        <v>23</v>
      </c>
      <c r="I29" s="9" t="s">
        <v>172</v>
      </c>
      <c r="K29" s="9" t="s">
        <v>33</v>
      </c>
      <c r="L29" s="13" t="s">
        <v>452</v>
      </c>
      <c r="M29" s="15" t="s">
        <v>453</v>
      </c>
    </row>
    <row r="30" ht="14.25" customHeight="1">
      <c r="A30" s="9">
        <v>494.0</v>
      </c>
      <c r="B30" s="10" t="str">
        <f>VLOOKUP(D30, Current!C:C, 2, false)</f>
        <v>#REF!</v>
      </c>
      <c r="C30" s="10">
        <v>22.0</v>
      </c>
      <c r="D30" s="9" t="s">
        <v>360</v>
      </c>
      <c r="E30" s="9" t="s">
        <v>454</v>
      </c>
      <c r="F30" s="9" t="s">
        <v>242</v>
      </c>
      <c r="G30" s="9">
        <v>3500.0</v>
      </c>
      <c r="H30" s="20" t="s">
        <v>23</v>
      </c>
      <c r="I30" s="9" t="s">
        <v>361</v>
      </c>
      <c r="J30" s="9" t="s">
        <v>362</v>
      </c>
      <c r="K30" s="9" t="s">
        <v>33</v>
      </c>
      <c r="L30" s="13" t="s">
        <v>455</v>
      </c>
      <c r="M30" s="15" t="s">
        <v>456</v>
      </c>
    </row>
    <row r="31" ht="14.25" customHeight="1">
      <c r="A31" s="9">
        <v>549.0</v>
      </c>
      <c r="B31" s="10" t="str">
        <f>VLOOKUP(D31, Current!C:C, 2, false)</f>
        <v>#REF!</v>
      </c>
      <c r="C31" s="10">
        <v>19.0</v>
      </c>
      <c r="D31" s="9" t="s">
        <v>332</v>
      </c>
      <c r="E31" s="9" t="s">
        <v>457</v>
      </c>
      <c r="F31" s="9" t="s">
        <v>242</v>
      </c>
      <c r="G31" s="9">
        <v>1500.0</v>
      </c>
      <c r="H31" s="20" t="s">
        <v>23</v>
      </c>
      <c r="I31" s="9" t="s">
        <v>333</v>
      </c>
      <c r="J31" s="9" t="s">
        <v>334</v>
      </c>
      <c r="K31" s="9" t="s">
        <v>33</v>
      </c>
      <c r="L31" s="13" t="s">
        <v>458</v>
      </c>
      <c r="M31" s="15" t="s">
        <v>459</v>
      </c>
    </row>
    <row r="32" ht="14.25" customHeight="1">
      <c r="A32" s="9">
        <v>1931.0</v>
      </c>
      <c r="B32" s="10" t="str">
        <f>VLOOKUP(D32, Current!C:C, 2, false)</f>
        <v>#REF!</v>
      </c>
      <c r="C32" s="10">
        <v>6.0</v>
      </c>
      <c r="D32" s="10" t="s">
        <v>460</v>
      </c>
      <c r="E32" s="9" t="s">
        <v>461</v>
      </c>
      <c r="F32" s="10" t="s">
        <v>166</v>
      </c>
      <c r="G32" s="9">
        <v>2900.0</v>
      </c>
      <c r="H32" s="9" t="s">
        <v>23</v>
      </c>
      <c r="I32" s="9" t="s">
        <v>167</v>
      </c>
      <c r="J32" s="9" t="s">
        <v>68</v>
      </c>
      <c r="K32" s="9" t="s">
        <v>46</v>
      </c>
      <c r="L32" s="13" t="s">
        <v>462</v>
      </c>
      <c r="M32" s="15" t="s">
        <v>463</v>
      </c>
    </row>
    <row r="33" ht="14.25" customHeight="1">
      <c r="A33" s="9">
        <v>506.0</v>
      </c>
      <c r="B33" s="10" t="str">
        <f>VLOOKUP(D33, Current!C:C, 2, false)</f>
        <v>#REF!</v>
      </c>
      <c r="C33" s="10">
        <v>4.0</v>
      </c>
      <c r="D33" s="9" t="s">
        <v>98</v>
      </c>
      <c r="E33" s="9" t="s">
        <v>483</v>
      </c>
      <c r="F33" s="9" t="s">
        <v>42</v>
      </c>
      <c r="G33" s="9">
        <v>15000.0</v>
      </c>
      <c r="H33" s="9" t="s">
        <v>23</v>
      </c>
      <c r="I33" s="9" t="s">
        <v>142</v>
      </c>
      <c r="K33" s="9" t="s">
        <v>33</v>
      </c>
      <c r="L33" s="13" t="s">
        <v>484</v>
      </c>
      <c r="M33" s="15" t="s">
        <v>485</v>
      </c>
    </row>
    <row r="34" ht="14.25" customHeight="1">
      <c r="A34" s="9">
        <v>537.0</v>
      </c>
      <c r="B34" s="10">
        <v>531.0</v>
      </c>
      <c r="C34" s="10">
        <v>4.0</v>
      </c>
      <c r="D34" s="10" t="s">
        <v>486</v>
      </c>
      <c r="E34" s="9" t="s">
        <v>487</v>
      </c>
      <c r="F34" s="9" t="s">
        <v>80</v>
      </c>
      <c r="G34" s="9">
        <v>5500.0</v>
      </c>
      <c r="H34" s="9" t="s">
        <v>23</v>
      </c>
      <c r="I34" s="9" t="s">
        <v>113</v>
      </c>
      <c r="J34" s="9" t="s">
        <v>113</v>
      </c>
      <c r="K34" s="9" t="s">
        <v>46</v>
      </c>
      <c r="L34" s="13" t="s">
        <v>488</v>
      </c>
      <c r="M34" s="15" t="s">
        <v>489</v>
      </c>
    </row>
    <row r="35" ht="14.25" customHeight="1">
      <c r="A35" s="9">
        <v>436.0</v>
      </c>
      <c r="B35" s="10" t="str">
        <f>VLOOKUP(D35, Current!C:C, 2, false)</f>
        <v>#REF!</v>
      </c>
      <c r="C35" s="10">
        <v>2.0</v>
      </c>
      <c r="D35" s="10" t="s">
        <v>52</v>
      </c>
      <c r="E35" s="9" t="s">
        <v>490</v>
      </c>
      <c r="F35" s="33" t="s">
        <v>491</v>
      </c>
      <c r="G35" s="9">
        <v>12500.0</v>
      </c>
      <c r="H35" s="9" t="s">
        <v>55</v>
      </c>
      <c r="I35" s="9" t="s">
        <v>58</v>
      </c>
      <c r="J35" s="9" t="s">
        <v>60</v>
      </c>
      <c r="K35" s="9" t="s">
        <v>33</v>
      </c>
      <c r="L35" s="13" t="s">
        <v>492</v>
      </c>
      <c r="M35" s="15" t="s">
        <v>493</v>
      </c>
    </row>
    <row r="36" ht="14.25" customHeight="1">
      <c r="A36" s="9">
        <v>2838.0</v>
      </c>
      <c r="B36" s="10" t="str">
        <f>VLOOKUP(D36, Current!C:C, 2, false)</f>
        <v>#REF!</v>
      </c>
      <c r="C36" s="10">
        <v>17.0</v>
      </c>
      <c r="D36" s="10" t="s">
        <v>305</v>
      </c>
      <c r="E36" s="9" t="s">
        <v>494</v>
      </c>
      <c r="F36" s="9" t="s">
        <v>318</v>
      </c>
      <c r="G36" s="9">
        <v>6000.0</v>
      </c>
      <c r="H36" s="9" t="s">
        <v>127</v>
      </c>
      <c r="I36" s="9" t="s">
        <v>306</v>
      </c>
      <c r="J36" s="9" t="s">
        <v>185</v>
      </c>
      <c r="K36" s="9" t="s">
        <v>46</v>
      </c>
      <c r="L36" s="13" t="s">
        <v>495</v>
      </c>
      <c r="M36" s="15" t="s">
        <v>496</v>
      </c>
    </row>
    <row r="37" ht="14.25" customHeight="1">
      <c r="A37" s="9">
        <v>2384.0</v>
      </c>
      <c r="B37" s="10" t="str">
        <f>VLOOKUP(D37, Current!C:C, 2, false)</f>
        <v>#REF!</v>
      </c>
      <c r="C37" s="10">
        <v>20.0</v>
      </c>
      <c r="D37" s="10" t="s">
        <v>241</v>
      </c>
      <c r="E37" s="9" t="s">
        <v>497</v>
      </c>
      <c r="F37" s="9" t="s">
        <v>318</v>
      </c>
      <c r="G37" s="9">
        <v>600.0</v>
      </c>
      <c r="H37" s="9" t="s">
        <v>55</v>
      </c>
      <c r="I37" s="9" t="s">
        <v>44</v>
      </c>
      <c r="K37" s="9" t="s">
        <v>46</v>
      </c>
      <c r="L37" s="13" t="s">
        <v>498</v>
      </c>
      <c r="M37" s="15" t="s">
        <v>499</v>
      </c>
    </row>
    <row r="38" ht="14.25" customHeight="1">
      <c r="A38" s="9">
        <v>1907.0</v>
      </c>
      <c r="B38" s="10" t="str">
        <f>VLOOKUP(D38, Current!C:C, 2, false)</f>
        <v>#REF!</v>
      </c>
      <c r="C38" s="10">
        <v>14.0</v>
      </c>
      <c r="D38" s="10" t="s">
        <v>202</v>
      </c>
      <c r="E38" s="9" t="s">
        <v>500</v>
      </c>
      <c r="F38" s="9" t="s">
        <v>42</v>
      </c>
      <c r="G38" s="9">
        <v>2500.0</v>
      </c>
      <c r="H38" s="9" t="s">
        <v>127</v>
      </c>
      <c r="I38" s="10" t="s">
        <v>203</v>
      </c>
      <c r="K38" s="9" t="s">
        <v>46</v>
      </c>
      <c r="L38" s="13" t="s">
        <v>501</v>
      </c>
      <c r="M38" s="15" t="s">
        <v>502</v>
      </c>
    </row>
    <row r="39" ht="14.25" customHeight="1">
      <c r="A39" s="9">
        <v>534.0</v>
      </c>
      <c r="B39" s="10" t="str">
        <f>VLOOKUP(D39, Current!C:C, 2, false)</f>
        <v>#REF!</v>
      </c>
      <c r="C39" s="10">
        <v>18.0</v>
      </c>
      <c r="D39" s="9" t="s">
        <v>322</v>
      </c>
      <c r="E39" s="9" t="s">
        <v>503</v>
      </c>
      <c r="F39" s="9" t="s">
        <v>57</v>
      </c>
      <c r="G39" s="9">
        <v>1400.0</v>
      </c>
      <c r="H39" s="20" t="s">
        <v>23</v>
      </c>
      <c r="I39" s="9" t="s">
        <v>324</v>
      </c>
      <c r="J39" s="9" t="s">
        <v>68</v>
      </c>
      <c r="K39" s="9" t="s">
        <v>46</v>
      </c>
      <c r="L39" s="13" t="s">
        <v>504</v>
      </c>
      <c r="M39" s="15" t="s">
        <v>505</v>
      </c>
    </row>
    <row r="40" ht="14.25" customHeight="1">
      <c r="A40" s="9">
        <v>546.0</v>
      </c>
      <c r="B40" s="10" t="str">
        <f>VLOOKUP(D40, Current!C:C, 2, false)</f>
        <v>#REF!</v>
      </c>
      <c r="C40" s="10">
        <v>7.0</v>
      </c>
      <c r="D40" s="9" t="s">
        <v>175</v>
      </c>
      <c r="E40" s="9" t="s">
        <v>506</v>
      </c>
      <c r="F40" s="9" t="s">
        <v>176</v>
      </c>
      <c r="G40" s="9">
        <v>18000.0</v>
      </c>
      <c r="H40" s="9" t="s">
        <v>29</v>
      </c>
      <c r="I40" s="9" t="s">
        <v>177</v>
      </c>
      <c r="K40" s="9" t="s">
        <v>33</v>
      </c>
      <c r="L40" s="13" t="s">
        <v>507</v>
      </c>
      <c r="M40" s="15" t="s">
        <v>508</v>
      </c>
    </row>
    <row r="41" ht="14.25" customHeight="1">
      <c r="A41" s="34">
        <v>531.0</v>
      </c>
      <c r="B41" s="10">
        <v>494.0</v>
      </c>
      <c r="C41" s="10">
        <v>14.0</v>
      </c>
      <c r="D41" s="34" t="s">
        <v>509</v>
      </c>
      <c r="E41" s="34" t="s">
        <v>510</v>
      </c>
      <c r="F41" s="34" t="s">
        <v>42</v>
      </c>
      <c r="G41" s="34">
        <v>10000.0</v>
      </c>
      <c r="H41" s="34" t="s">
        <v>23</v>
      </c>
      <c r="I41" s="34" t="s">
        <v>110</v>
      </c>
      <c r="J41" s="34"/>
      <c r="K41" s="34" t="s">
        <v>33</v>
      </c>
      <c r="L41" s="35" t="s">
        <v>511</v>
      </c>
      <c r="M41" s="36" t="s">
        <v>512</v>
      </c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</row>
    <row r="42" ht="14.25" customHeight="1">
      <c r="A42" s="34">
        <v>517.0</v>
      </c>
      <c r="B42" s="10">
        <v>2853.0</v>
      </c>
      <c r="C42" s="10">
        <v>15.0</v>
      </c>
      <c r="D42" s="34" t="s">
        <v>513</v>
      </c>
      <c r="E42" s="34" t="s">
        <v>514</v>
      </c>
      <c r="F42" s="34" t="s">
        <v>253</v>
      </c>
      <c r="G42" s="34">
        <v>7500.0</v>
      </c>
      <c r="H42" s="34" t="s">
        <v>23</v>
      </c>
      <c r="I42" s="34" t="s">
        <v>290</v>
      </c>
      <c r="J42" s="34" t="s">
        <v>291</v>
      </c>
      <c r="K42" s="34" t="s">
        <v>33</v>
      </c>
      <c r="L42" s="35" t="s">
        <v>515</v>
      </c>
      <c r="M42" s="36" t="s">
        <v>516</v>
      </c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</row>
    <row r="43" ht="14.25" customHeight="1">
      <c r="A43" s="9">
        <v>2366.0</v>
      </c>
      <c r="B43" s="10" t="str">
        <f>VLOOKUP(D43, Current!C:C, 2, false)</f>
        <v>#REF!</v>
      </c>
      <c r="C43" s="10">
        <v>22.0</v>
      </c>
      <c r="D43" s="9" t="s">
        <v>366</v>
      </c>
      <c r="E43" s="9" t="s">
        <v>517</v>
      </c>
      <c r="F43" s="9" t="s">
        <v>367</v>
      </c>
      <c r="G43" s="9">
        <v>3200.0</v>
      </c>
      <c r="H43" s="10" t="s">
        <v>369</v>
      </c>
      <c r="I43" s="9" t="s">
        <v>162</v>
      </c>
      <c r="K43" s="9" t="s">
        <v>46</v>
      </c>
      <c r="L43" s="13" t="s">
        <v>518</v>
      </c>
      <c r="M43" s="15" t="s">
        <v>519</v>
      </c>
    </row>
    <row r="44" ht="14.25" customHeight="1">
      <c r="A44" s="9">
        <v>523.0</v>
      </c>
      <c r="B44" s="10" t="str">
        <f>VLOOKUP(D44, Current!C:C, 2, false)</f>
        <v>#REF!</v>
      </c>
      <c r="C44" s="10">
        <v>7.0</v>
      </c>
      <c r="D44" s="9" t="s">
        <v>181</v>
      </c>
      <c r="E44" s="9" t="s">
        <v>520</v>
      </c>
      <c r="F44" s="9" t="s">
        <v>42</v>
      </c>
      <c r="G44" s="9">
        <v>2600.0</v>
      </c>
      <c r="H44" s="9" t="s">
        <v>23</v>
      </c>
      <c r="I44" s="9" t="s">
        <v>184</v>
      </c>
      <c r="J44" s="9" t="s">
        <v>185</v>
      </c>
      <c r="K44" s="9" t="s">
        <v>46</v>
      </c>
      <c r="L44" s="13" t="s">
        <v>521</v>
      </c>
      <c r="M44" s="15" t="s">
        <v>522</v>
      </c>
    </row>
    <row r="45" ht="14.25" customHeight="1">
      <c r="A45" s="9">
        <v>2850.0</v>
      </c>
      <c r="B45" s="10" t="str">
        <f>VLOOKUP(D45, Current!C:C, 2, false)</f>
        <v>#REF!</v>
      </c>
      <c r="C45" s="10">
        <v>20.0</v>
      </c>
      <c r="D45" s="9" t="s">
        <v>323</v>
      </c>
      <c r="E45" s="9" t="s">
        <v>523</v>
      </c>
      <c r="F45" s="9" t="s">
        <v>80</v>
      </c>
      <c r="G45" s="9">
        <v>2500.0</v>
      </c>
      <c r="H45" s="9" t="s">
        <v>23</v>
      </c>
      <c r="I45" s="9" t="s">
        <v>325</v>
      </c>
      <c r="K45" s="9" t="s">
        <v>33</v>
      </c>
      <c r="L45" s="13" t="s">
        <v>524</v>
      </c>
      <c r="M45" s="15" t="s">
        <v>525</v>
      </c>
    </row>
    <row r="46" ht="14.25" customHeight="1">
      <c r="A46" s="9">
        <v>540.0</v>
      </c>
      <c r="B46" s="10" t="str">
        <f>VLOOKUP(D46, Current!C:C, 2, false)</f>
        <v>#REF!</v>
      </c>
      <c r="C46" s="10">
        <v>11.0</v>
      </c>
      <c r="D46" s="9" t="s">
        <v>240</v>
      </c>
      <c r="E46" s="9" t="s">
        <v>526</v>
      </c>
      <c r="F46" s="9" t="s">
        <v>242</v>
      </c>
      <c r="G46" s="9">
        <v>2200.0</v>
      </c>
      <c r="H46" s="9" t="s">
        <v>55</v>
      </c>
      <c r="I46" s="9" t="s">
        <v>224</v>
      </c>
      <c r="J46" s="9" t="s">
        <v>224</v>
      </c>
      <c r="K46" s="9" t="s">
        <v>46</v>
      </c>
      <c r="L46" s="13" t="s">
        <v>527</v>
      </c>
      <c r="M46" s="15" t="s">
        <v>528</v>
      </c>
    </row>
    <row r="47" ht="14.25" customHeight="1">
      <c r="A47" s="9">
        <v>2396.0</v>
      </c>
      <c r="B47" s="10" t="str">
        <f>VLOOKUP(D47, Current!C:C, 2, false)</f>
        <v>#REF!</v>
      </c>
      <c r="C47" s="10">
        <v>12.0</v>
      </c>
      <c r="D47" s="10" t="s">
        <v>261</v>
      </c>
      <c r="E47" s="9" t="s">
        <v>529</v>
      </c>
      <c r="F47" s="10" t="s">
        <v>262</v>
      </c>
      <c r="G47" s="9">
        <v>4500.0</v>
      </c>
      <c r="H47" s="9" t="s">
        <v>23</v>
      </c>
      <c r="I47" s="9" t="s">
        <v>439</v>
      </c>
      <c r="K47" s="9" t="s">
        <v>46</v>
      </c>
      <c r="L47" s="13" t="s">
        <v>530</v>
      </c>
      <c r="M47" s="37" t="s">
        <v>531</v>
      </c>
    </row>
    <row r="48" ht="14.25" customHeight="1">
      <c r="M48" s="38"/>
    </row>
    <row r="49" ht="14.25" customHeight="1">
      <c r="M49" s="38"/>
    </row>
    <row r="50" ht="14.25" customHeight="1">
      <c r="M50" s="38"/>
    </row>
    <row r="51" ht="14.25" customHeight="1">
      <c r="M51" s="38"/>
    </row>
    <row r="52" ht="14.25" customHeight="1">
      <c r="M52" s="38"/>
    </row>
    <row r="53" ht="14.25" customHeight="1">
      <c r="M53" s="38"/>
    </row>
    <row r="54" ht="14.25" customHeight="1">
      <c r="M54" s="38"/>
    </row>
    <row r="55" ht="14.25" customHeight="1">
      <c r="M55" s="38"/>
    </row>
    <row r="56" ht="14.25" customHeight="1">
      <c r="M56" s="38"/>
    </row>
    <row r="57" ht="14.25" customHeight="1">
      <c r="M57" s="38"/>
    </row>
    <row r="58" ht="14.25" customHeight="1">
      <c r="M58" s="38"/>
    </row>
    <row r="59" ht="14.25" customHeight="1">
      <c r="M59" s="38"/>
    </row>
    <row r="60" ht="14.25" customHeight="1">
      <c r="M60" s="38"/>
    </row>
    <row r="61" ht="14.25" customHeight="1">
      <c r="M61" s="38"/>
    </row>
    <row r="62" ht="14.25" customHeight="1">
      <c r="M62" s="38"/>
    </row>
    <row r="63" ht="14.25" customHeight="1">
      <c r="M63" s="38"/>
    </row>
    <row r="64" ht="14.25" customHeight="1">
      <c r="M64" s="38"/>
    </row>
    <row r="65" ht="14.25" customHeight="1">
      <c r="M65" s="38"/>
    </row>
    <row r="66" ht="14.25" customHeight="1">
      <c r="M66" s="38"/>
    </row>
    <row r="67" ht="14.25" customHeight="1">
      <c r="M67" s="38"/>
    </row>
    <row r="68" ht="14.25" customHeight="1">
      <c r="M68" s="38"/>
    </row>
    <row r="69" ht="14.25" customHeight="1">
      <c r="M69" s="38"/>
    </row>
    <row r="70" ht="14.25" customHeight="1">
      <c r="M70" s="38"/>
    </row>
    <row r="71" ht="14.25" customHeight="1">
      <c r="M71" s="38"/>
    </row>
    <row r="72" ht="14.25" customHeight="1">
      <c r="M72" s="38"/>
    </row>
    <row r="73" ht="14.25" customHeight="1">
      <c r="M73" s="38"/>
    </row>
    <row r="74" ht="14.25" customHeight="1">
      <c r="M74" s="38"/>
    </row>
    <row r="75" ht="14.25" customHeight="1">
      <c r="M75" s="38"/>
    </row>
    <row r="76" ht="14.25" customHeight="1">
      <c r="M76" s="38"/>
    </row>
    <row r="77" ht="14.25" customHeight="1">
      <c r="M77" s="38"/>
    </row>
    <row r="78" ht="14.25" customHeight="1">
      <c r="M78" s="38"/>
    </row>
    <row r="79" ht="14.25" customHeight="1">
      <c r="M79" s="38"/>
    </row>
    <row r="80" ht="14.25" customHeight="1">
      <c r="M80" s="38"/>
    </row>
    <row r="81" ht="14.25" customHeight="1">
      <c r="M81" s="38"/>
    </row>
    <row r="82" ht="14.25" customHeight="1">
      <c r="M82" s="38"/>
    </row>
    <row r="83" ht="14.25" customHeight="1">
      <c r="M83" s="38"/>
    </row>
    <row r="84" ht="14.25" customHeight="1">
      <c r="M84" s="38"/>
    </row>
    <row r="85" ht="14.25" customHeight="1">
      <c r="M85" s="38"/>
    </row>
    <row r="86" ht="14.25" customHeight="1">
      <c r="M86" s="38"/>
    </row>
    <row r="87" ht="14.25" customHeight="1">
      <c r="M87" s="38"/>
    </row>
    <row r="88" ht="14.25" customHeight="1">
      <c r="M88" s="38"/>
    </row>
    <row r="89" ht="14.25" customHeight="1">
      <c r="M89" s="38"/>
    </row>
    <row r="90" ht="14.25" customHeight="1">
      <c r="M90" s="38"/>
    </row>
    <row r="91" ht="14.25" customHeight="1">
      <c r="M91" s="38"/>
    </row>
    <row r="92" ht="14.25" customHeight="1">
      <c r="M92" s="38"/>
    </row>
    <row r="93" ht="14.25" customHeight="1">
      <c r="M93" s="38"/>
    </row>
    <row r="94" ht="14.25" customHeight="1">
      <c r="M94" s="38"/>
    </row>
    <row r="95" ht="14.25" customHeight="1">
      <c r="M95" s="38"/>
    </row>
    <row r="96" ht="14.25" customHeight="1">
      <c r="M96" s="38"/>
    </row>
    <row r="97" ht="14.25" customHeight="1">
      <c r="M97" s="38"/>
    </row>
    <row r="98" ht="14.25" customHeight="1">
      <c r="M98" s="38"/>
    </row>
    <row r="99" ht="14.25" customHeight="1">
      <c r="M99" s="38"/>
    </row>
    <row r="100" ht="14.25" customHeight="1">
      <c r="M100" s="38"/>
    </row>
    <row r="101" ht="14.25" customHeight="1">
      <c r="M101" s="38"/>
    </row>
    <row r="102" ht="14.25" customHeight="1">
      <c r="M102" s="38"/>
    </row>
    <row r="103" ht="14.25" customHeight="1">
      <c r="M103" s="38"/>
    </row>
    <row r="104" ht="14.25" customHeight="1">
      <c r="M104" s="38"/>
    </row>
    <row r="105" ht="14.25" customHeight="1">
      <c r="M105" s="38"/>
    </row>
    <row r="106" ht="14.25" customHeight="1">
      <c r="M106" s="38"/>
    </row>
    <row r="107" ht="14.25" customHeight="1">
      <c r="M107" s="38"/>
    </row>
    <row r="108" ht="14.25" customHeight="1">
      <c r="M108" s="38"/>
    </row>
    <row r="109" ht="14.25" customHeight="1">
      <c r="M109" s="38"/>
    </row>
    <row r="110" ht="14.25" customHeight="1">
      <c r="M110" s="38"/>
    </row>
    <row r="111" ht="14.25" customHeight="1">
      <c r="M111" s="38"/>
    </row>
    <row r="112" ht="14.25" customHeight="1">
      <c r="M112" s="38"/>
    </row>
    <row r="113" ht="14.25" customHeight="1">
      <c r="M113" s="38"/>
    </row>
    <row r="114" ht="14.25" customHeight="1">
      <c r="M114" s="38"/>
    </row>
    <row r="115" ht="14.25" customHeight="1">
      <c r="M115" s="38"/>
    </row>
    <row r="116" ht="14.25" customHeight="1">
      <c r="M116" s="38"/>
    </row>
    <row r="117" ht="14.25" customHeight="1">
      <c r="M117" s="38"/>
    </row>
    <row r="118" ht="14.25" customHeight="1">
      <c r="M118" s="38"/>
    </row>
    <row r="119" ht="14.25" customHeight="1">
      <c r="M119" s="38"/>
    </row>
    <row r="120" ht="14.25" customHeight="1">
      <c r="M120" s="38"/>
    </row>
    <row r="121" ht="14.25" customHeight="1">
      <c r="M121" s="38"/>
    </row>
    <row r="122" ht="14.25" customHeight="1">
      <c r="M122" s="38"/>
    </row>
    <row r="123" ht="14.25" customHeight="1">
      <c r="M123" s="38"/>
    </row>
    <row r="124" ht="14.25" customHeight="1">
      <c r="M124" s="38"/>
    </row>
    <row r="125" ht="14.25" customHeight="1">
      <c r="M125" s="38"/>
    </row>
    <row r="126" ht="14.25" customHeight="1">
      <c r="M126" s="38"/>
    </row>
    <row r="127" ht="14.25" customHeight="1">
      <c r="M127" s="38"/>
    </row>
    <row r="128" ht="14.25" customHeight="1">
      <c r="M128" s="38"/>
    </row>
    <row r="129" ht="14.25" customHeight="1">
      <c r="M129" s="38"/>
    </row>
    <row r="130" ht="14.25" customHeight="1">
      <c r="M130" s="38"/>
    </row>
    <row r="131" ht="14.25" customHeight="1">
      <c r="M131" s="38"/>
    </row>
    <row r="132" ht="14.25" customHeight="1">
      <c r="M132" s="38"/>
    </row>
    <row r="133" ht="14.25" customHeight="1">
      <c r="M133" s="38"/>
    </row>
    <row r="134" ht="14.25" customHeight="1">
      <c r="M134" s="38"/>
    </row>
    <row r="135" ht="14.25" customHeight="1">
      <c r="M135" s="38"/>
    </row>
    <row r="136" ht="14.25" customHeight="1">
      <c r="M136" s="38"/>
    </row>
    <row r="137" ht="14.25" customHeight="1">
      <c r="M137" s="38"/>
    </row>
    <row r="138" ht="14.25" customHeight="1">
      <c r="M138" s="38"/>
    </row>
    <row r="139" ht="14.25" customHeight="1">
      <c r="M139" s="38"/>
    </row>
    <row r="140" ht="14.25" customHeight="1">
      <c r="M140" s="38"/>
    </row>
    <row r="141" ht="14.25" customHeight="1">
      <c r="M141" s="38"/>
    </row>
    <row r="142" ht="14.25" customHeight="1">
      <c r="M142" s="38"/>
    </row>
    <row r="143" ht="14.25" customHeight="1">
      <c r="M143" s="38"/>
    </row>
    <row r="144" ht="14.25" customHeight="1">
      <c r="M144" s="38"/>
    </row>
    <row r="145" ht="14.25" customHeight="1">
      <c r="M145" s="38"/>
    </row>
    <row r="146" ht="14.25" customHeight="1">
      <c r="M146" s="38"/>
    </row>
    <row r="147" ht="14.25" customHeight="1">
      <c r="M147" s="38"/>
    </row>
    <row r="148" ht="14.25" customHeight="1">
      <c r="M148" s="38"/>
    </row>
    <row r="149" ht="14.25" customHeight="1">
      <c r="M149" s="38"/>
    </row>
    <row r="150" ht="14.25" customHeight="1">
      <c r="M150" s="38"/>
    </row>
    <row r="151" ht="14.25" customHeight="1">
      <c r="M151" s="38"/>
    </row>
    <row r="152" ht="14.25" customHeight="1">
      <c r="M152" s="38"/>
    </row>
    <row r="153" ht="14.25" customHeight="1">
      <c r="M153" s="38"/>
    </row>
    <row r="154" ht="14.25" customHeight="1">
      <c r="M154" s="38"/>
    </row>
    <row r="155" ht="14.25" customHeight="1">
      <c r="M155" s="38"/>
    </row>
    <row r="156" ht="14.25" customHeight="1">
      <c r="M156" s="38"/>
    </row>
    <row r="157" ht="14.25" customHeight="1">
      <c r="M157" s="38"/>
    </row>
    <row r="158" ht="14.25" customHeight="1">
      <c r="M158" s="38"/>
    </row>
    <row r="159" ht="14.25" customHeight="1">
      <c r="M159" s="38"/>
    </row>
    <row r="160" ht="14.25" customHeight="1">
      <c r="M160" s="38"/>
    </row>
    <row r="161" ht="14.25" customHeight="1">
      <c r="M161" s="38"/>
    </row>
    <row r="162" ht="14.25" customHeight="1">
      <c r="M162" s="38"/>
    </row>
    <row r="163" ht="14.25" customHeight="1">
      <c r="M163" s="38"/>
    </row>
    <row r="164" ht="14.25" customHeight="1">
      <c r="M164" s="38"/>
    </row>
    <row r="165" ht="14.25" customHeight="1">
      <c r="M165" s="38"/>
    </row>
    <row r="166" ht="14.25" customHeight="1">
      <c r="M166" s="38"/>
    </row>
    <row r="167" ht="14.25" customHeight="1">
      <c r="M167" s="38"/>
    </row>
    <row r="168" ht="14.25" customHeight="1">
      <c r="M168" s="38"/>
    </row>
    <row r="169" ht="14.25" customHeight="1">
      <c r="M169" s="38"/>
    </row>
    <row r="170" ht="14.25" customHeight="1">
      <c r="M170" s="38"/>
    </row>
    <row r="171" ht="14.25" customHeight="1">
      <c r="M171" s="38"/>
    </row>
    <row r="172" ht="14.25" customHeight="1">
      <c r="M172" s="38"/>
    </row>
    <row r="173" ht="14.25" customHeight="1">
      <c r="M173" s="38"/>
    </row>
    <row r="174" ht="14.25" customHeight="1">
      <c r="M174" s="38"/>
    </row>
    <row r="175" ht="14.25" customHeight="1">
      <c r="M175" s="38"/>
    </row>
    <row r="176" ht="14.25" customHeight="1">
      <c r="M176" s="38"/>
    </row>
    <row r="177" ht="14.25" customHeight="1">
      <c r="M177" s="38"/>
    </row>
    <row r="178" ht="14.25" customHeight="1">
      <c r="M178" s="38"/>
    </row>
    <row r="179" ht="14.25" customHeight="1">
      <c r="M179" s="38"/>
    </row>
    <row r="180" ht="14.25" customHeight="1">
      <c r="M180" s="38"/>
    </row>
    <row r="181" ht="14.25" customHeight="1">
      <c r="M181" s="38"/>
    </row>
    <row r="182" ht="14.25" customHeight="1">
      <c r="M182" s="38"/>
    </row>
    <row r="183" ht="14.25" customHeight="1">
      <c r="M183" s="38"/>
    </row>
    <row r="184" ht="14.25" customHeight="1">
      <c r="M184" s="38"/>
    </row>
    <row r="185" ht="14.25" customHeight="1">
      <c r="M185" s="38"/>
    </row>
    <row r="186" ht="14.25" customHeight="1">
      <c r="M186" s="38"/>
    </row>
    <row r="187" ht="14.25" customHeight="1">
      <c r="M187" s="38"/>
    </row>
    <row r="188" ht="14.25" customHeight="1">
      <c r="M188" s="38"/>
    </row>
    <row r="189" ht="14.25" customHeight="1">
      <c r="M189" s="38"/>
    </row>
    <row r="190" ht="14.25" customHeight="1">
      <c r="M190" s="38"/>
    </row>
    <row r="191" ht="14.25" customHeight="1">
      <c r="M191" s="38"/>
    </row>
    <row r="192" ht="14.25" customHeight="1">
      <c r="M192" s="38"/>
    </row>
    <row r="193" ht="14.25" customHeight="1">
      <c r="M193" s="38"/>
    </row>
    <row r="194" ht="14.25" customHeight="1">
      <c r="M194" s="38"/>
    </row>
    <row r="195" ht="14.25" customHeight="1">
      <c r="M195" s="38"/>
    </row>
    <row r="196" ht="14.25" customHeight="1">
      <c r="M196" s="38"/>
    </row>
    <row r="197" ht="14.25" customHeight="1">
      <c r="M197" s="38"/>
    </row>
    <row r="198" ht="14.25" customHeight="1">
      <c r="M198" s="38"/>
    </row>
    <row r="199" ht="14.25" customHeight="1">
      <c r="M199" s="38"/>
    </row>
    <row r="200" ht="14.25" customHeight="1">
      <c r="M200" s="38"/>
    </row>
    <row r="201" ht="14.25" customHeight="1">
      <c r="M201" s="38"/>
    </row>
    <row r="202" ht="14.25" customHeight="1">
      <c r="M202" s="38"/>
    </row>
    <row r="203" ht="14.25" customHeight="1">
      <c r="M203" s="38"/>
    </row>
    <row r="204" ht="14.25" customHeight="1">
      <c r="M204" s="38"/>
    </row>
    <row r="205" ht="14.25" customHeight="1">
      <c r="M205" s="38"/>
    </row>
    <row r="206" ht="14.25" customHeight="1">
      <c r="M206" s="38"/>
    </row>
    <row r="207" ht="14.25" customHeight="1">
      <c r="M207" s="38"/>
    </row>
    <row r="208" ht="14.25" customHeight="1">
      <c r="M208" s="38"/>
    </row>
    <row r="209" ht="14.25" customHeight="1">
      <c r="M209" s="38"/>
    </row>
    <row r="210" ht="14.25" customHeight="1">
      <c r="M210" s="38"/>
    </row>
    <row r="211" ht="14.25" customHeight="1">
      <c r="M211" s="38"/>
    </row>
    <row r="212" ht="14.25" customHeight="1">
      <c r="M212" s="38"/>
    </row>
    <row r="213" ht="14.25" customHeight="1">
      <c r="M213" s="38"/>
    </row>
    <row r="214" ht="14.25" customHeight="1">
      <c r="M214" s="38"/>
    </row>
    <row r="215" ht="14.25" customHeight="1">
      <c r="M215" s="38"/>
    </row>
    <row r="216" ht="14.25" customHeight="1">
      <c r="M216" s="38"/>
    </row>
    <row r="217" ht="14.25" customHeight="1">
      <c r="M217" s="38"/>
    </row>
    <row r="218" ht="14.25" customHeight="1">
      <c r="M218" s="38"/>
    </row>
    <row r="219" ht="14.25" customHeight="1">
      <c r="M219" s="38"/>
    </row>
    <row r="220" ht="14.25" customHeight="1">
      <c r="M220" s="38"/>
    </row>
    <row r="221" ht="14.25" customHeight="1">
      <c r="M221" s="38"/>
    </row>
    <row r="222" ht="14.25" customHeight="1">
      <c r="M222" s="38"/>
    </row>
    <row r="223" ht="14.25" customHeight="1">
      <c r="M223" s="38"/>
    </row>
    <row r="224" ht="14.25" customHeight="1">
      <c r="M224" s="38"/>
    </row>
    <row r="225" ht="14.25" customHeight="1">
      <c r="M225" s="38"/>
    </row>
    <row r="226" ht="14.25" customHeight="1">
      <c r="M226" s="38"/>
    </row>
    <row r="227" ht="14.25" customHeight="1">
      <c r="M227" s="38"/>
    </row>
    <row r="228" ht="14.25" customHeight="1">
      <c r="M228" s="38"/>
    </row>
    <row r="229" ht="14.25" customHeight="1">
      <c r="M229" s="38"/>
    </row>
    <row r="230" ht="14.25" customHeight="1">
      <c r="M230" s="38"/>
    </row>
    <row r="231" ht="14.25" customHeight="1">
      <c r="M231" s="38"/>
    </row>
    <row r="232" ht="14.25" customHeight="1">
      <c r="M232" s="38"/>
    </row>
    <row r="233" ht="14.25" customHeight="1">
      <c r="M233" s="38"/>
    </row>
    <row r="234" ht="14.25" customHeight="1">
      <c r="M234" s="38"/>
    </row>
    <row r="235" ht="14.25" customHeight="1">
      <c r="M235" s="38"/>
    </row>
    <row r="236" ht="14.25" customHeight="1">
      <c r="M236" s="38"/>
    </row>
    <row r="237" ht="14.25" customHeight="1">
      <c r="M237" s="38"/>
    </row>
    <row r="238" ht="14.25" customHeight="1">
      <c r="M238" s="38"/>
    </row>
    <row r="239" ht="14.25" customHeight="1">
      <c r="M239" s="38"/>
    </row>
    <row r="240" ht="14.25" customHeight="1">
      <c r="M240" s="38"/>
    </row>
    <row r="241" ht="14.25" customHeight="1">
      <c r="M241" s="38"/>
    </row>
    <row r="242" ht="14.25" customHeight="1">
      <c r="M242" s="38"/>
    </row>
    <row r="243" ht="14.25" customHeight="1">
      <c r="M243" s="38"/>
    </row>
    <row r="244" ht="14.25" customHeight="1">
      <c r="M244" s="38"/>
    </row>
    <row r="245" ht="14.25" customHeight="1">
      <c r="M245" s="38"/>
    </row>
    <row r="246" ht="14.25" customHeight="1">
      <c r="M246" s="38"/>
    </row>
    <row r="247" ht="14.25" customHeight="1">
      <c r="M247" s="38"/>
    </row>
    <row r="248" ht="14.25" customHeight="1">
      <c r="M248" s="38"/>
    </row>
    <row r="249" ht="14.25" customHeight="1">
      <c r="M249" s="38"/>
    </row>
    <row r="250" ht="14.25" customHeight="1">
      <c r="M250" s="38"/>
    </row>
    <row r="251" ht="14.25" customHeight="1">
      <c r="M251" s="38"/>
    </row>
    <row r="252" ht="14.25" customHeight="1">
      <c r="M252" s="38"/>
    </row>
    <row r="253" ht="14.25" customHeight="1">
      <c r="M253" s="38"/>
    </row>
    <row r="254" ht="14.25" customHeight="1">
      <c r="M254" s="38"/>
    </row>
    <row r="255" ht="14.25" customHeight="1">
      <c r="M255" s="38"/>
    </row>
    <row r="256" ht="14.25" customHeight="1">
      <c r="M256" s="38"/>
    </row>
    <row r="257" ht="14.25" customHeight="1">
      <c r="M257" s="38"/>
    </row>
    <row r="258" ht="14.25" customHeight="1">
      <c r="M258" s="38"/>
    </row>
    <row r="259" ht="14.25" customHeight="1">
      <c r="M259" s="38"/>
    </row>
    <row r="260" ht="14.25" customHeight="1">
      <c r="M260" s="38"/>
    </row>
    <row r="261" ht="14.25" customHeight="1">
      <c r="M261" s="38"/>
    </row>
    <row r="262" ht="14.25" customHeight="1">
      <c r="M262" s="38"/>
    </row>
    <row r="263" ht="14.25" customHeight="1">
      <c r="M263" s="38"/>
    </row>
    <row r="264" ht="14.25" customHeight="1">
      <c r="M264" s="38"/>
    </row>
    <row r="265" ht="14.25" customHeight="1">
      <c r="M265" s="38"/>
    </row>
    <row r="266" ht="14.25" customHeight="1">
      <c r="M266" s="38"/>
    </row>
    <row r="267" ht="14.25" customHeight="1">
      <c r="M267" s="38"/>
    </row>
    <row r="268" ht="14.25" customHeight="1">
      <c r="M268" s="38"/>
    </row>
    <row r="269" ht="14.25" customHeight="1">
      <c r="M269" s="38"/>
    </row>
    <row r="270" ht="14.25" customHeight="1">
      <c r="M270" s="38"/>
    </row>
    <row r="271" ht="14.25" customHeight="1">
      <c r="M271" s="38"/>
    </row>
    <row r="272" ht="14.25" customHeight="1">
      <c r="M272" s="38"/>
    </row>
    <row r="273" ht="14.25" customHeight="1">
      <c r="M273" s="38"/>
    </row>
    <row r="274" ht="14.25" customHeight="1">
      <c r="M274" s="38"/>
    </row>
    <row r="275" ht="14.25" customHeight="1">
      <c r="M275" s="38"/>
    </row>
    <row r="276" ht="14.25" customHeight="1">
      <c r="M276" s="38"/>
    </row>
    <row r="277" ht="14.25" customHeight="1">
      <c r="M277" s="38"/>
    </row>
    <row r="278" ht="14.25" customHeight="1">
      <c r="M278" s="38"/>
    </row>
    <row r="279" ht="14.25" customHeight="1">
      <c r="M279" s="38"/>
    </row>
    <row r="280" ht="14.25" customHeight="1">
      <c r="M280" s="38"/>
    </row>
    <row r="281" ht="14.25" customHeight="1">
      <c r="M281" s="38"/>
    </row>
    <row r="282" ht="14.25" customHeight="1">
      <c r="M282" s="38"/>
    </row>
    <row r="283" ht="14.25" customHeight="1">
      <c r="M283" s="38"/>
    </row>
    <row r="284" ht="14.25" customHeight="1">
      <c r="M284" s="38"/>
    </row>
    <row r="285" ht="14.25" customHeight="1">
      <c r="M285" s="38"/>
    </row>
    <row r="286" ht="14.25" customHeight="1">
      <c r="M286" s="38"/>
    </row>
    <row r="287" ht="14.25" customHeight="1">
      <c r="M287" s="38"/>
    </row>
    <row r="288" ht="14.25" customHeight="1">
      <c r="M288" s="38"/>
    </row>
    <row r="289" ht="14.25" customHeight="1">
      <c r="M289" s="38"/>
    </row>
    <row r="290" ht="14.25" customHeight="1">
      <c r="M290" s="38"/>
    </row>
    <row r="291" ht="14.25" customHeight="1">
      <c r="M291" s="38"/>
    </row>
    <row r="292" ht="14.25" customHeight="1">
      <c r="M292" s="38"/>
    </row>
    <row r="293" ht="14.25" customHeight="1">
      <c r="M293" s="38"/>
    </row>
    <row r="294" ht="14.25" customHeight="1">
      <c r="M294" s="38"/>
    </row>
    <row r="295" ht="14.25" customHeight="1">
      <c r="M295" s="38"/>
    </row>
    <row r="296" ht="14.25" customHeight="1">
      <c r="M296" s="38"/>
    </row>
    <row r="297" ht="14.25" customHeight="1">
      <c r="M297" s="38"/>
    </row>
    <row r="298" ht="14.25" customHeight="1">
      <c r="M298" s="38"/>
    </row>
    <row r="299" ht="14.25" customHeight="1">
      <c r="M299" s="38"/>
    </row>
    <row r="300" ht="14.25" customHeight="1">
      <c r="M300" s="38"/>
    </row>
    <row r="301" ht="14.25" customHeight="1">
      <c r="M301" s="38"/>
    </row>
    <row r="302" ht="14.25" customHeight="1">
      <c r="M302" s="38"/>
    </row>
    <row r="303" ht="14.25" customHeight="1">
      <c r="M303" s="38"/>
    </row>
    <row r="304" ht="14.25" customHeight="1">
      <c r="M304" s="38"/>
    </row>
    <row r="305" ht="14.25" customHeight="1">
      <c r="M305" s="38"/>
    </row>
    <row r="306" ht="14.25" customHeight="1">
      <c r="M306" s="38"/>
    </row>
    <row r="307" ht="14.25" customHeight="1">
      <c r="M307" s="38"/>
    </row>
    <row r="308" ht="14.25" customHeight="1">
      <c r="M308" s="38"/>
    </row>
    <row r="309" ht="14.25" customHeight="1">
      <c r="M309" s="38"/>
    </row>
    <row r="310" ht="14.25" customHeight="1">
      <c r="M310" s="38"/>
    </row>
    <row r="311" ht="14.25" customHeight="1">
      <c r="M311" s="38"/>
    </row>
    <row r="312" ht="14.25" customHeight="1">
      <c r="M312" s="38"/>
    </row>
    <row r="313" ht="14.25" customHeight="1">
      <c r="M313" s="38"/>
    </row>
    <row r="314" ht="14.25" customHeight="1">
      <c r="M314" s="38"/>
    </row>
    <row r="315" ht="14.25" customHeight="1">
      <c r="M315" s="38"/>
    </row>
    <row r="316" ht="14.25" customHeight="1">
      <c r="M316" s="38"/>
    </row>
    <row r="317" ht="14.25" customHeight="1">
      <c r="M317" s="38"/>
    </row>
    <row r="318" ht="14.25" customHeight="1">
      <c r="M318" s="38"/>
    </row>
    <row r="319" ht="14.25" customHeight="1">
      <c r="M319" s="38"/>
    </row>
    <row r="320" ht="14.25" customHeight="1">
      <c r="M320" s="38"/>
    </row>
    <row r="321" ht="14.25" customHeight="1">
      <c r="M321" s="38"/>
    </row>
    <row r="322" ht="14.25" customHeight="1">
      <c r="M322" s="38"/>
    </row>
    <row r="323" ht="14.25" customHeight="1">
      <c r="M323" s="38"/>
    </row>
    <row r="324" ht="14.25" customHeight="1">
      <c r="M324" s="38"/>
    </row>
    <row r="325" ht="14.25" customHeight="1">
      <c r="M325" s="38"/>
    </row>
    <row r="326" ht="14.25" customHeight="1">
      <c r="M326" s="38"/>
    </row>
    <row r="327" ht="14.25" customHeight="1">
      <c r="M327" s="38"/>
    </row>
    <row r="328" ht="14.25" customHeight="1">
      <c r="M328" s="38"/>
    </row>
    <row r="329" ht="14.25" customHeight="1">
      <c r="M329" s="38"/>
    </row>
    <row r="330" ht="14.25" customHeight="1">
      <c r="M330" s="38"/>
    </row>
    <row r="331" ht="14.25" customHeight="1">
      <c r="M331" s="38"/>
    </row>
    <row r="332" ht="14.25" customHeight="1">
      <c r="M332" s="38"/>
    </row>
    <row r="333" ht="14.25" customHeight="1">
      <c r="M333" s="38"/>
    </row>
    <row r="334" ht="14.25" customHeight="1">
      <c r="M334" s="38"/>
    </row>
    <row r="335" ht="14.25" customHeight="1">
      <c r="M335" s="38"/>
    </row>
    <row r="336" ht="14.25" customHeight="1">
      <c r="M336" s="38"/>
    </row>
    <row r="337" ht="14.25" customHeight="1">
      <c r="M337" s="38"/>
    </row>
    <row r="338" ht="14.25" customHeight="1">
      <c r="M338" s="38"/>
    </row>
    <row r="339" ht="14.25" customHeight="1">
      <c r="M339" s="38"/>
    </row>
    <row r="340" ht="14.25" customHeight="1">
      <c r="M340" s="38"/>
    </row>
    <row r="341" ht="14.25" customHeight="1">
      <c r="M341" s="38"/>
    </row>
    <row r="342" ht="14.25" customHeight="1">
      <c r="M342" s="38"/>
    </row>
    <row r="343" ht="14.25" customHeight="1">
      <c r="M343" s="38"/>
    </row>
    <row r="344" ht="14.25" customHeight="1">
      <c r="M344" s="38"/>
    </row>
    <row r="345" ht="14.25" customHeight="1">
      <c r="M345" s="38"/>
    </row>
    <row r="346" ht="14.25" customHeight="1">
      <c r="M346" s="38"/>
    </row>
    <row r="347" ht="14.25" customHeight="1">
      <c r="M347" s="38"/>
    </row>
    <row r="348" ht="14.25" customHeight="1">
      <c r="M348" s="38"/>
    </row>
    <row r="349" ht="14.25" customHeight="1">
      <c r="M349" s="38"/>
    </row>
    <row r="350" ht="14.25" customHeight="1">
      <c r="M350" s="38"/>
    </row>
    <row r="351" ht="14.25" customHeight="1">
      <c r="M351" s="38"/>
    </row>
    <row r="352" ht="14.25" customHeight="1">
      <c r="M352" s="38"/>
    </row>
    <row r="353" ht="14.25" customHeight="1">
      <c r="M353" s="38"/>
    </row>
    <row r="354" ht="14.25" customHeight="1">
      <c r="M354" s="38"/>
    </row>
    <row r="355" ht="14.25" customHeight="1">
      <c r="M355" s="38"/>
    </row>
    <row r="356" ht="14.25" customHeight="1">
      <c r="M356" s="38"/>
    </row>
    <row r="357" ht="14.25" customHeight="1">
      <c r="M357" s="38"/>
    </row>
    <row r="358" ht="14.25" customHeight="1">
      <c r="M358" s="38"/>
    </row>
    <row r="359" ht="14.25" customHeight="1">
      <c r="M359" s="38"/>
    </row>
    <row r="360" ht="14.25" customHeight="1">
      <c r="M360" s="38"/>
    </row>
    <row r="361" ht="14.25" customHeight="1">
      <c r="M361" s="38"/>
    </row>
    <row r="362" ht="14.25" customHeight="1">
      <c r="M362" s="38"/>
    </row>
    <row r="363" ht="14.25" customHeight="1">
      <c r="M363" s="38"/>
    </row>
    <row r="364" ht="14.25" customHeight="1">
      <c r="M364" s="38"/>
    </row>
    <row r="365" ht="14.25" customHeight="1">
      <c r="M365" s="38"/>
    </row>
    <row r="366" ht="14.25" customHeight="1">
      <c r="M366" s="38"/>
    </row>
    <row r="367" ht="14.25" customHeight="1">
      <c r="M367" s="38"/>
    </row>
    <row r="368" ht="14.25" customHeight="1">
      <c r="M368" s="38"/>
    </row>
    <row r="369" ht="14.25" customHeight="1">
      <c r="M369" s="38"/>
    </row>
    <row r="370" ht="14.25" customHeight="1">
      <c r="M370" s="38"/>
    </row>
    <row r="371" ht="14.25" customHeight="1">
      <c r="M371" s="38"/>
    </row>
    <row r="372" ht="14.25" customHeight="1">
      <c r="M372" s="38"/>
    </row>
    <row r="373" ht="14.25" customHeight="1">
      <c r="M373" s="38"/>
    </row>
    <row r="374" ht="14.25" customHeight="1">
      <c r="M374" s="38"/>
    </row>
    <row r="375" ht="14.25" customHeight="1">
      <c r="M375" s="38"/>
    </row>
    <row r="376" ht="14.25" customHeight="1">
      <c r="M376" s="38"/>
    </row>
    <row r="377" ht="14.25" customHeight="1">
      <c r="M377" s="38"/>
    </row>
    <row r="378" ht="14.25" customHeight="1">
      <c r="M378" s="38"/>
    </row>
    <row r="379" ht="14.25" customHeight="1">
      <c r="M379" s="38"/>
    </row>
    <row r="380" ht="14.25" customHeight="1">
      <c r="M380" s="38"/>
    </row>
    <row r="381" ht="14.25" customHeight="1">
      <c r="M381" s="38"/>
    </row>
    <row r="382" ht="14.25" customHeight="1">
      <c r="M382" s="38"/>
    </row>
    <row r="383" ht="14.25" customHeight="1">
      <c r="M383" s="38"/>
    </row>
    <row r="384" ht="14.25" customHeight="1">
      <c r="M384" s="38"/>
    </row>
    <row r="385" ht="14.25" customHeight="1">
      <c r="M385" s="38"/>
    </row>
    <row r="386" ht="14.25" customHeight="1">
      <c r="M386" s="38"/>
    </row>
    <row r="387" ht="14.25" customHeight="1">
      <c r="M387" s="38"/>
    </row>
    <row r="388" ht="14.25" customHeight="1">
      <c r="M388" s="38"/>
    </row>
    <row r="389" ht="14.25" customHeight="1">
      <c r="M389" s="38"/>
    </row>
    <row r="390" ht="14.25" customHeight="1">
      <c r="M390" s="38"/>
    </row>
    <row r="391" ht="14.25" customHeight="1">
      <c r="M391" s="38"/>
    </row>
    <row r="392" ht="14.25" customHeight="1">
      <c r="M392" s="38"/>
    </row>
    <row r="393" ht="14.25" customHeight="1">
      <c r="M393" s="38"/>
    </row>
    <row r="394" ht="14.25" customHeight="1">
      <c r="M394" s="38"/>
    </row>
    <row r="395" ht="14.25" customHeight="1">
      <c r="M395" s="38"/>
    </row>
    <row r="396" ht="14.25" customHeight="1">
      <c r="M396" s="38"/>
    </row>
    <row r="397" ht="14.25" customHeight="1">
      <c r="M397" s="38"/>
    </row>
    <row r="398" ht="14.25" customHeight="1">
      <c r="M398" s="38"/>
    </row>
    <row r="399" ht="14.25" customHeight="1">
      <c r="M399" s="38"/>
    </row>
    <row r="400" ht="14.25" customHeight="1">
      <c r="M400" s="38"/>
    </row>
    <row r="401" ht="14.25" customHeight="1">
      <c r="M401" s="38"/>
    </row>
    <row r="402" ht="14.25" customHeight="1">
      <c r="M402" s="38"/>
    </row>
    <row r="403" ht="14.25" customHeight="1">
      <c r="M403" s="38"/>
    </row>
    <row r="404" ht="14.25" customHeight="1">
      <c r="M404" s="38"/>
    </row>
    <row r="405" ht="14.25" customHeight="1">
      <c r="M405" s="38"/>
    </row>
    <row r="406" ht="14.25" customHeight="1">
      <c r="M406" s="38"/>
    </row>
    <row r="407" ht="14.25" customHeight="1">
      <c r="M407" s="38"/>
    </row>
    <row r="408" ht="14.25" customHeight="1">
      <c r="M408" s="38"/>
    </row>
    <row r="409" ht="14.25" customHeight="1">
      <c r="M409" s="38"/>
    </row>
    <row r="410" ht="14.25" customHeight="1">
      <c r="M410" s="38"/>
    </row>
    <row r="411" ht="14.25" customHeight="1">
      <c r="M411" s="38"/>
    </row>
    <row r="412" ht="14.25" customHeight="1">
      <c r="M412" s="38"/>
    </row>
    <row r="413" ht="14.25" customHeight="1">
      <c r="M413" s="38"/>
    </row>
    <row r="414" ht="14.25" customHeight="1">
      <c r="M414" s="38"/>
    </row>
    <row r="415" ht="14.25" customHeight="1">
      <c r="M415" s="38"/>
    </row>
    <row r="416" ht="14.25" customHeight="1">
      <c r="M416" s="38"/>
    </row>
    <row r="417" ht="14.25" customHeight="1">
      <c r="M417" s="38"/>
    </row>
    <row r="418" ht="14.25" customHeight="1">
      <c r="M418" s="38"/>
    </row>
    <row r="419" ht="14.25" customHeight="1">
      <c r="M419" s="38"/>
    </row>
    <row r="420" ht="14.25" customHeight="1">
      <c r="M420" s="38"/>
    </row>
    <row r="421" ht="14.25" customHeight="1">
      <c r="M421" s="38"/>
    </row>
    <row r="422" ht="14.25" customHeight="1">
      <c r="M422" s="38"/>
    </row>
    <row r="423" ht="14.25" customHeight="1">
      <c r="M423" s="38"/>
    </row>
    <row r="424" ht="14.25" customHeight="1">
      <c r="M424" s="38"/>
    </row>
    <row r="425" ht="14.25" customHeight="1">
      <c r="M425" s="38"/>
    </row>
    <row r="426" ht="14.25" customHeight="1">
      <c r="M426" s="38"/>
    </row>
    <row r="427" ht="14.25" customHeight="1">
      <c r="M427" s="38"/>
    </row>
    <row r="428" ht="14.25" customHeight="1">
      <c r="M428" s="38"/>
    </row>
    <row r="429" ht="14.25" customHeight="1">
      <c r="M429" s="38"/>
    </row>
    <row r="430" ht="14.25" customHeight="1">
      <c r="M430" s="38"/>
    </row>
    <row r="431" ht="14.25" customHeight="1">
      <c r="M431" s="38"/>
    </row>
    <row r="432" ht="14.25" customHeight="1">
      <c r="M432" s="38"/>
    </row>
    <row r="433" ht="14.25" customHeight="1">
      <c r="M433" s="38"/>
    </row>
    <row r="434" ht="14.25" customHeight="1">
      <c r="M434" s="38"/>
    </row>
    <row r="435" ht="14.25" customHeight="1">
      <c r="M435" s="38"/>
    </row>
    <row r="436" ht="14.25" customHeight="1">
      <c r="M436" s="38"/>
    </row>
    <row r="437" ht="14.25" customHeight="1">
      <c r="M437" s="38"/>
    </row>
    <row r="438" ht="14.25" customHeight="1">
      <c r="M438" s="38"/>
    </row>
    <row r="439" ht="14.25" customHeight="1">
      <c r="M439" s="38"/>
    </row>
    <row r="440" ht="14.25" customHeight="1">
      <c r="M440" s="38"/>
    </row>
    <row r="441" ht="14.25" customHeight="1">
      <c r="M441" s="38"/>
    </row>
    <row r="442" ht="14.25" customHeight="1">
      <c r="M442" s="38"/>
    </row>
    <row r="443" ht="14.25" customHeight="1">
      <c r="M443" s="38"/>
    </row>
    <row r="444" ht="14.25" customHeight="1">
      <c r="M444" s="38"/>
    </row>
    <row r="445" ht="14.25" customHeight="1">
      <c r="M445" s="38"/>
    </row>
    <row r="446" ht="14.25" customHeight="1">
      <c r="M446" s="38"/>
    </row>
    <row r="447" ht="14.25" customHeight="1">
      <c r="M447" s="38"/>
    </row>
    <row r="448" ht="14.25" customHeight="1">
      <c r="M448" s="38"/>
    </row>
    <row r="449" ht="14.25" customHeight="1">
      <c r="M449" s="38"/>
    </row>
    <row r="450" ht="14.25" customHeight="1">
      <c r="M450" s="38"/>
    </row>
    <row r="451" ht="14.25" customHeight="1">
      <c r="M451" s="38"/>
    </row>
    <row r="452" ht="14.25" customHeight="1">
      <c r="M452" s="38"/>
    </row>
    <row r="453" ht="14.25" customHeight="1">
      <c r="M453" s="38"/>
    </row>
    <row r="454" ht="14.25" customHeight="1">
      <c r="M454" s="38"/>
    </row>
    <row r="455" ht="14.25" customHeight="1">
      <c r="M455" s="38"/>
    </row>
    <row r="456" ht="14.25" customHeight="1">
      <c r="M456" s="38"/>
    </row>
    <row r="457" ht="14.25" customHeight="1">
      <c r="M457" s="38"/>
    </row>
    <row r="458" ht="14.25" customHeight="1">
      <c r="M458" s="38"/>
    </row>
    <row r="459" ht="14.25" customHeight="1">
      <c r="M459" s="38"/>
    </row>
    <row r="460" ht="14.25" customHeight="1">
      <c r="M460" s="38"/>
    </row>
    <row r="461" ht="14.25" customHeight="1">
      <c r="M461" s="38"/>
    </row>
    <row r="462" ht="14.25" customHeight="1">
      <c r="M462" s="38"/>
    </row>
    <row r="463" ht="14.25" customHeight="1">
      <c r="M463" s="38"/>
    </row>
    <row r="464" ht="14.25" customHeight="1">
      <c r="M464" s="38"/>
    </row>
    <row r="465" ht="14.25" customHeight="1">
      <c r="M465" s="38"/>
    </row>
    <row r="466" ht="14.25" customHeight="1">
      <c r="M466" s="38"/>
    </row>
    <row r="467" ht="14.25" customHeight="1">
      <c r="M467" s="38"/>
    </row>
    <row r="468" ht="14.25" customHeight="1">
      <c r="M468" s="38"/>
    </row>
    <row r="469" ht="14.25" customHeight="1">
      <c r="M469" s="38"/>
    </row>
    <row r="470" ht="14.25" customHeight="1">
      <c r="M470" s="38"/>
    </row>
    <row r="471" ht="14.25" customHeight="1">
      <c r="M471" s="38"/>
    </row>
    <row r="472" ht="14.25" customHeight="1">
      <c r="M472" s="38"/>
    </row>
    <row r="473" ht="14.25" customHeight="1">
      <c r="M473" s="38"/>
    </row>
    <row r="474" ht="14.25" customHeight="1">
      <c r="M474" s="38"/>
    </row>
    <row r="475" ht="14.25" customHeight="1">
      <c r="M475" s="38"/>
    </row>
    <row r="476" ht="14.25" customHeight="1">
      <c r="M476" s="38"/>
    </row>
    <row r="477" ht="14.25" customHeight="1">
      <c r="M477" s="38"/>
    </row>
    <row r="478" ht="14.25" customHeight="1">
      <c r="M478" s="38"/>
    </row>
    <row r="479" ht="14.25" customHeight="1">
      <c r="M479" s="38"/>
    </row>
    <row r="480" ht="14.25" customHeight="1">
      <c r="M480" s="38"/>
    </row>
    <row r="481" ht="14.25" customHeight="1">
      <c r="M481" s="38"/>
    </row>
    <row r="482" ht="14.25" customHeight="1">
      <c r="M482" s="38"/>
    </row>
    <row r="483" ht="14.25" customHeight="1">
      <c r="M483" s="38"/>
    </row>
    <row r="484" ht="14.25" customHeight="1">
      <c r="M484" s="38"/>
    </row>
    <row r="485" ht="14.25" customHeight="1">
      <c r="M485" s="38"/>
    </row>
    <row r="486" ht="14.25" customHeight="1">
      <c r="M486" s="38"/>
    </row>
    <row r="487" ht="14.25" customHeight="1">
      <c r="M487" s="38"/>
    </row>
    <row r="488" ht="14.25" customHeight="1">
      <c r="M488" s="38"/>
    </row>
    <row r="489" ht="14.25" customHeight="1">
      <c r="M489" s="38"/>
    </row>
    <row r="490" ht="14.25" customHeight="1">
      <c r="M490" s="38"/>
    </row>
    <row r="491" ht="14.25" customHeight="1">
      <c r="M491" s="38"/>
    </row>
    <row r="492" ht="14.25" customHeight="1">
      <c r="M492" s="38"/>
    </row>
    <row r="493" ht="14.25" customHeight="1">
      <c r="M493" s="38"/>
    </row>
    <row r="494" ht="14.25" customHeight="1">
      <c r="M494" s="38"/>
    </row>
    <row r="495" ht="14.25" customHeight="1">
      <c r="M495" s="38"/>
    </row>
    <row r="496" ht="14.25" customHeight="1">
      <c r="M496" s="38"/>
    </row>
    <row r="497" ht="14.25" customHeight="1">
      <c r="M497" s="38"/>
    </row>
    <row r="498" ht="14.25" customHeight="1">
      <c r="M498" s="38"/>
    </row>
    <row r="499" ht="14.25" customHeight="1">
      <c r="M499" s="38"/>
    </row>
    <row r="500" ht="14.25" customHeight="1">
      <c r="M500" s="38"/>
    </row>
    <row r="501" ht="14.25" customHeight="1">
      <c r="M501" s="38"/>
    </row>
    <row r="502" ht="14.25" customHeight="1">
      <c r="M502" s="38"/>
    </row>
    <row r="503" ht="14.25" customHeight="1">
      <c r="M503" s="38"/>
    </row>
    <row r="504" ht="14.25" customHeight="1">
      <c r="M504" s="38"/>
    </row>
    <row r="505" ht="14.25" customHeight="1">
      <c r="M505" s="38"/>
    </row>
    <row r="506" ht="14.25" customHeight="1">
      <c r="M506" s="38"/>
    </row>
    <row r="507" ht="14.25" customHeight="1">
      <c r="M507" s="38"/>
    </row>
    <row r="508" ht="14.25" customHeight="1">
      <c r="M508" s="38"/>
    </row>
    <row r="509" ht="14.25" customHeight="1">
      <c r="M509" s="38"/>
    </row>
    <row r="510" ht="14.25" customHeight="1">
      <c r="M510" s="38"/>
    </row>
    <row r="511" ht="14.25" customHeight="1">
      <c r="M511" s="38"/>
    </row>
    <row r="512" ht="14.25" customHeight="1">
      <c r="M512" s="38"/>
    </row>
    <row r="513" ht="14.25" customHeight="1">
      <c r="M513" s="38"/>
    </row>
    <row r="514" ht="14.25" customHeight="1">
      <c r="M514" s="38"/>
    </row>
    <row r="515" ht="14.25" customHeight="1">
      <c r="M515" s="38"/>
    </row>
    <row r="516" ht="14.25" customHeight="1">
      <c r="M516" s="38"/>
    </row>
    <row r="517" ht="14.25" customHeight="1">
      <c r="M517" s="38"/>
    </row>
    <row r="518" ht="14.25" customHeight="1">
      <c r="M518" s="38"/>
    </row>
    <row r="519" ht="14.25" customHeight="1">
      <c r="M519" s="38"/>
    </row>
    <row r="520" ht="14.25" customHeight="1">
      <c r="M520" s="38"/>
    </row>
    <row r="521" ht="14.25" customHeight="1">
      <c r="M521" s="38"/>
    </row>
    <row r="522" ht="14.25" customHeight="1">
      <c r="M522" s="38"/>
    </row>
    <row r="523" ht="14.25" customHeight="1">
      <c r="M523" s="38"/>
    </row>
    <row r="524" ht="14.25" customHeight="1">
      <c r="M524" s="38"/>
    </row>
    <row r="525" ht="14.25" customHeight="1">
      <c r="M525" s="38"/>
    </row>
    <row r="526" ht="14.25" customHeight="1">
      <c r="M526" s="38"/>
    </row>
    <row r="527" ht="14.25" customHeight="1">
      <c r="M527" s="38"/>
    </row>
    <row r="528" ht="14.25" customHeight="1">
      <c r="M528" s="38"/>
    </row>
    <row r="529" ht="14.25" customHeight="1">
      <c r="M529" s="38"/>
    </row>
    <row r="530" ht="14.25" customHeight="1">
      <c r="M530" s="38"/>
    </row>
    <row r="531" ht="14.25" customHeight="1">
      <c r="M531" s="38"/>
    </row>
    <row r="532" ht="14.25" customHeight="1">
      <c r="M532" s="38"/>
    </row>
    <row r="533" ht="14.25" customHeight="1">
      <c r="M533" s="38"/>
    </row>
    <row r="534" ht="14.25" customHeight="1">
      <c r="M534" s="38"/>
    </row>
    <row r="535" ht="14.25" customHeight="1">
      <c r="M535" s="38"/>
    </row>
    <row r="536" ht="14.25" customHeight="1">
      <c r="M536" s="38"/>
    </row>
    <row r="537" ht="14.25" customHeight="1">
      <c r="M537" s="38"/>
    </row>
    <row r="538" ht="14.25" customHeight="1">
      <c r="M538" s="38"/>
    </row>
    <row r="539" ht="14.25" customHeight="1">
      <c r="M539" s="38"/>
    </row>
    <row r="540" ht="14.25" customHeight="1">
      <c r="M540" s="38"/>
    </row>
    <row r="541" ht="14.25" customHeight="1">
      <c r="M541" s="38"/>
    </row>
    <row r="542" ht="14.25" customHeight="1">
      <c r="M542" s="38"/>
    </row>
    <row r="543" ht="14.25" customHeight="1">
      <c r="M543" s="38"/>
    </row>
    <row r="544" ht="14.25" customHeight="1">
      <c r="M544" s="38"/>
    </row>
    <row r="545" ht="14.25" customHeight="1">
      <c r="M545" s="38"/>
    </row>
    <row r="546" ht="14.25" customHeight="1">
      <c r="M546" s="38"/>
    </row>
    <row r="547" ht="14.25" customHeight="1">
      <c r="M547" s="38"/>
    </row>
    <row r="548" ht="14.25" customHeight="1">
      <c r="M548" s="38"/>
    </row>
    <row r="549" ht="14.25" customHeight="1">
      <c r="M549" s="38"/>
    </row>
    <row r="550" ht="14.25" customHeight="1">
      <c r="M550" s="38"/>
    </row>
    <row r="551" ht="14.25" customHeight="1">
      <c r="M551" s="38"/>
    </row>
    <row r="552" ht="14.25" customHeight="1">
      <c r="M552" s="38"/>
    </row>
    <row r="553" ht="14.25" customHeight="1">
      <c r="M553" s="38"/>
    </row>
    <row r="554" ht="14.25" customHeight="1">
      <c r="M554" s="38"/>
    </row>
    <row r="555" ht="14.25" customHeight="1">
      <c r="M555" s="38"/>
    </row>
    <row r="556" ht="14.25" customHeight="1">
      <c r="M556" s="38"/>
    </row>
    <row r="557" ht="14.25" customHeight="1">
      <c r="M557" s="38"/>
    </row>
    <row r="558" ht="14.25" customHeight="1">
      <c r="M558" s="38"/>
    </row>
    <row r="559" ht="14.25" customHeight="1">
      <c r="M559" s="38"/>
    </row>
    <row r="560" ht="14.25" customHeight="1">
      <c r="M560" s="38"/>
    </row>
    <row r="561" ht="14.25" customHeight="1">
      <c r="M561" s="38"/>
    </row>
    <row r="562" ht="14.25" customHeight="1">
      <c r="M562" s="38"/>
    </row>
    <row r="563" ht="14.25" customHeight="1">
      <c r="M563" s="38"/>
    </row>
    <row r="564" ht="14.25" customHeight="1">
      <c r="M564" s="38"/>
    </row>
    <row r="565" ht="14.25" customHeight="1">
      <c r="M565" s="38"/>
    </row>
    <row r="566" ht="14.25" customHeight="1">
      <c r="M566" s="38"/>
    </row>
    <row r="567" ht="14.25" customHeight="1">
      <c r="M567" s="38"/>
    </row>
    <row r="568" ht="14.25" customHeight="1">
      <c r="M568" s="38"/>
    </row>
    <row r="569" ht="14.25" customHeight="1">
      <c r="M569" s="38"/>
    </row>
    <row r="570" ht="14.25" customHeight="1">
      <c r="M570" s="38"/>
    </row>
    <row r="571" ht="14.25" customHeight="1">
      <c r="M571" s="38"/>
    </row>
    <row r="572" ht="14.25" customHeight="1">
      <c r="M572" s="38"/>
    </row>
    <row r="573" ht="14.25" customHeight="1">
      <c r="M573" s="38"/>
    </row>
    <row r="574" ht="14.25" customHeight="1">
      <c r="M574" s="38"/>
    </row>
    <row r="575" ht="14.25" customHeight="1">
      <c r="M575" s="38"/>
    </row>
    <row r="576" ht="14.25" customHeight="1">
      <c r="M576" s="38"/>
    </row>
    <row r="577" ht="14.25" customHeight="1">
      <c r="M577" s="38"/>
    </row>
    <row r="578" ht="14.25" customHeight="1">
      <c r="M578" s="38"/>
    </row>
    <row r="579" ht="14.25" customHeight="1">
      <c r="M579" s="38"/>
    </row>
    <row r="580" ht="14.25" customHeight="1">
      <c r="M580" s="38"/>
    </row>
    <row r="581" ht="14.25" customHeight="1">
      <c r="M581" s="38"/>
    </row>
    <row r="582" ht="14.25" customHeight="1">
      <c r="M582" s="38"/>
    </row>
    <row r="583" ht="14.25" customHeight="1">
      <c r="M583" s="38"/>
    </row>
    <row r="584" ht="14.25" customHeight="1">
      <c r="M584" s="38"/>
    </row>
    <row r="585" ht="14.25" customHeight="1">
      <c r="M585" s="38"/>
    </row>
    <row r="586" ht="14.25" customHeight="1">
      <c r="M586" s="38"/>
    </row>
    <row r="587" ht="14.25" customHeight="1">
      <c r="M587" s="38"/>
    </row>
    <row r="588" ht="14.25" customHeight="1">
      <c r="M588" s="38"/>
    </row>
    <row r="589" ht="14.25" customHeight="1">
      <c r="M589" s="38"/>
    </row>
    <row r="590" ht="14.25" customHeight="1">
      <c r="M590" s="38"/>
    </row>
    <row r="591" ht="14.25" customHeight="1">
      <c r="M591" s="38"/>
    </row>
    <row r="592" ht="14.25" customHeight="1">
      <c r="M592" s="38"/>
    </row>
    <row r="593" ht="14.25" customHeight="1">
      <c r="M593" s="38"/>
    </row>
    <row r="594" ht="14.25" customHeight="1">
      <c r="M594" s="38"/>
    </row>
    <row r="595" ht="14.25" customHeight="1">
      <c r="M595" s="38"/>
    </row>
    <row r="596" ht="14.25" customHeight="1">
      <c r="M596" s="38"/>
    </row>
    <row r="597" ht="14.25" customHeight="1">
      <c r="M597" s="38"/>
    </row>
    <row r="598" ht="14.25" customHeight="1">
      <c r="M598" s="38"/>
    </row>
    <row r="599" ht="14.25" customHeight="1">
      <c r="M599" s="38"/>
    </row>
    <row r="600" ht="14.25" customHeight="1">
      <c r="M600" s="38"/>
    </row>
    <row r="601" ht="14.25" customHeight="1">
      <c r="M601" s="38"/>
    </row>
    <row r="602" ht="14.25" customHeight="1">
      <c r="M602" s="38"/>
    </row>
    <row r="603" ht="14.25" customHeight="1">
      <c r="M603" s="38"/>
    </row>
    <row r="604" ht="14.25" customHeight="1">
      <c r="M604" s="38"/>
    </row>
    <row r="605" ht="14.25" customHeight="1">
      <c r="M605" s="38"/>
    </row>
    <row r="606" ht="14.25" customHeight="1">
      <c r="M606" s="38"/>
    </row>
    <row r="607" ht="14.25" customHeight="1">
      <c r="M607" s="38"/>
    </row>
    <row r="608" ht="14.25" customHeight="1">
      <c r="M608" s="38"/>
    </row>
    <row r="609" ht="14.25" customHeight="1">
      <c r="M609" s="38"/>
    </row>
    <row r="610" ht="14.25" customHeight="1">
      <c r="M610" s="38"/>
    </row>
    <row r="611" ht="14.25" customHeight="1">
      <c r="M611" s="38"/>
    </row>
    <row r="612" ht="14.25" customHeight="1">
      <c r="M612" s="38"/>
    </row>
    <row r="613" ht="14.25" customHeight="1">
      <c r="M613" s="38"/>
    </row>
    <row r="614" ht="14.25" customHeight="1">
      <c r="M614" s="38"/>
    </row>
    <row r="615" ht="14.25" customHeight="1">
      <c r="M615" s="38"/>
    </row>
    <row r="616" ht="14.25" customHeight="1">
      <c r="M616" s="38"/>
    </row>
    <row r="617" ht="14.25" customHeight="1">
      <c r="M617" s="38"/>
    </row>
    <row r="618" ht="14.25" customHeight="1">
      <c r="M618" s="38"/>
    </row>
    <row r="619" ht="14.25" customHeight="1">
      <c r="M619" s="38"/>
    </row>
    <row r="620" ht="14.25" customHeight="1">
      <c r="M620" s="38"/>
    </row>
    <row r="621" ht="14.25" customHeight="1">
      <c r="M621" s="38"/>
    </row>
    <row r="622" ht="14.25" customHeight="1">
      <c r="M622" s="38"/>
    </row>
    <row r="623" ht="14.25" customHeight="1">
      <c r="M623" s="38"/>
    </row>
    <row r="624" ht="14.25" customHeight="1">
      <c r="M624" s="38"/>
    </row>
    <row r="625" ht="14.25" customHeight="1">
      <c r="M625" s="38"/>
    </row>
    <row r="626" ht="14.25" customHeight="1">
      <c r="M626" s="38"/>
    </row>
    <row r="627" ht="14.25" customHeight="1">
      <c r="M627" s="38"/>
    </row>
    <row r="628" ht="14.25" customHeight="1">
      <c r="M628" s="38"/>
    </row>
    <row r="629" ht="14.25" customHeight="1">
      <c r="M629" s="38"/>
    </row>
    <row r="630" ht="14.25" customHeight="1">
      <c r="M630" s="38"/>
    </row>
    <row r="631" ht="14.25" customHeight="1">
      <c r="M631" s="38"/>
    </row>
    <row r="632" ht="14.25" customHeight="1">
      <c r="M632" s="38"/>
    </row>
    <row r="633" ht="14.25" customHeight="1">
      <c r="M633" s="38"/>
    </row>
    <row r="634" ht="14.25" customHeight="1">
      <c r="M634" s="38"/>
    </row>
    <row r="635" ht="14.25" customHeight="1">
      <c r="M635" s="38"/>
    </row>
    <row r="636" ht="14.25" customHeight="1">
      <c r="M636" s="38"/>
    </row>
    <row r="637" ht="14.25" customHeight="1">
      <c r="M637" s="38"/>
    </row>
    <row r="638" ht="14.25" customHeight="1">
      <c r="M638" s="38"/>
    </row>
    <row r="639" ht="14.25" customHeight="1">
      <c r="M639" s="38"/>
    </row>
    <row r="640" ht="14.25" customHeight="1">
      <c r="M640" s="38"/>
    </row>
    <row r="641" ht="14.25" customHeight="1">
      <c r="M641" s="38"/>
    </row>
    <row r="642" ht="14.25" customHeight="1">
      <c r="M642" s="38"/>
    </row>
    <row r="643" ht="14.25" customHeight="1">
      <c r="M643" s="38"/>
    </row>
    <row r="644" ht="14.25" customHeight="1">
      <c r="M644" s="38"/>
    </row>
    <row r="645" ht="14.25" customHeight="1">
      <c r="M645" s="38"/>
    </row>
    <row r="646" ht="14.25" customHeight="1">
      <c r="M646" s="38"/>
    </row>
    <row r="647" ht="14.25" customHeight="1">
      <c r="M647" s="38"/>
    </row>
    <row r="648" ht="14.25" customHeight="1">
      <c r="M648" s="38"/>
    </row>
    <row r="649" ht="14.25" customHeight="1">
      <c r="M649" s="38"/>
    </row>
    <row r="650" ht="14.25" customHeight="1">
      <c r="M650" s="38"/>
    </row>
    <row r="651" ht="14.25" customHeight="1">
      <c r="M651" s="38"/>
    </row>
    <row r="652" ht="14.25" customHeight="1">
      <c r="M652" s="38"/>
    </row>
    <row r="653" ht="14.25" customHeight="1">
      <c r="M653" s="38"/>
    </row>
    <row r="654" ht="14.25" customHeight="1">
      <c r="M654" s="38"/>
    </row>
    <row r="655" ht="14.25" customHeight="1">
      <c r="M655" s="38"/>
    </row>
    <row r="656" ht="14.25" customHeight="1">
      <c r="M656" s="38"/>
    </row>
    <row r="657" ht="14.25" customHeight="1">
      <c r="M657" s="38"/>
    </row>
    <row r="658" ht="14.25" customHeight="1">
      <c r="M658" s="38"/>
    </row>
    <row r="659" ht="14.25" customHeight="1">
      <c r="M659" s="38"/>
    </row>
    <row r="660" ht="14.25" customHeight="1">
      <c r="M660" s="38"/>
    </row>
    <row r="661" ht="14.25" customHeight="1">
      <c r="M661" s="38"/>
    </row>
    <row r="662" ht="14.25" customHeight="1">
      <c r="M662" s="38"/>
    </row>
    <row r="663" ht="14.25" customHeight="1">
      <c r="M663" s="38"/>
    </row>
    <row r="664" ht="14.25" customHeight="1">
      <c r="M664" s="38"/>
    </row>
    <row r="665" ht="14.25" customHeight="1">
      <c r="M665" s="38"/>
    </row>
    <row r="666" ht="14.25" customHeight="1">
      <c r="M666" s="38"/>
    </row>
    <row r="667" ht="14.25" customHeight="1">
      <c r="M667" s="38"/>
    </row>
    <row r="668" ht="14.25" customHeight="1">
      <c r="M668" s="38"/>
    </row>
    <row r="669" ht="14.25" customHeight="1">
      <c r="M669" s="38"/>
    </row>
    <row r="670" ht="14.25" customHeight="1">
      <c r="M670" s="38"/>
    </row>
    <row r="671" ht="14.25" customHeight="1">
      <c r="M671" s="38"/>
    </row>
    <row r="672" ht="14.25" customHeight="1">
      <c r="M672" s="38"/>
    </row>
    <row r="673" ht="14.25" customHeight="1">
      <c r="M673" s="38"/>
    </row>
    <row r="674" ht="14.25" customHeight="1">
      <c r="M674" s="38"/>
    </row>
    <row r="675" ht="14.25" customHeight="1">
      <c r="M675" s="38"/>
    </row>
    <row r="676" ht="14.25" customHeight="1">
      <c r="M676" s="38"/>
    </row>
    <row r="677" ht="14.25" customHeight="1">
      <c r="M677" s="38"/>
    </row>
    <row r="678" ht="14.25" customHeight="1">
      <c r="M678" s="38"/>
    </row>
    <row r="679" ht="14.25" customHeight="1">
      <c r="M679" s="38"/>
    </row>
    <row r="680" ht="14.25" customHeight="1">
      <c r="M680" s="38"/>
    </row>
    <row r="681" ht="14.25" customHeight="1">
      <c r="M681" s="38"/>
    </row>
    <row r="682" ht="14.25" customHeight="1">
      <c r="M682" s="38"/>
    </row>
    <row r="683" ht="14.25" customHeight="1">
      <c r="M683" s="38"/>
    </row>
    <row r="684" ht="14.25" customHeight="1">
      <c r="M684" s="38"/>
    </row>
    <row r="685" ht="14.25" customHeight="1">
      <c r="M685" s="38"/>
    </row>
    <row r="686" ht="14.25" customHeight="1">
      <c r="M686" s="38"/>
    </row>
    <row r="687" ht="14.25" customHeight="1">
      <c r="M687" s="38"/>
    </row>
    <row r="688" ht="14.25" customHeight="1">
      <c r="M688" s="38"/>
    </row>
    <row r="689" ht="14.25" customHeight="1">
      <c r="M689" s="38"/>
    </row>
    <row r="690" ht="14.25" customHeight="1">
      <c r="M690" s="38"/>
    </row>
    <row r="691" ht="14.25" customHeight="1">
      <c r="M691" s="38"/>
    </row>
    <row r="692" ht="14.25" customHeight="1">
      <c r="M692" s="38"/>
    </row>
    <row r="693" ht="14.25" customHeight="1">
      <c r="M693" s="38"/>
    </row>
    <row r="694" ht="14.25" customHeight="1">
      <c r="M694" s="38"/>
    </row>
    <row r="695" ht="14.25" customHeight="1">
      <c r="M695" s="38"/>
    </row>
    <row r="696" ht="14.25" customHeight="1">
      <c r="M696" s="38"/>
    </row>
    <row r="697" ht="14.25" customHeight="1">
      <c r="M697" s="38"/>
    </row>
    <row r="698" ht="14.25" customHeight="1">
      <c r="M698" s="38"/>
    </row>
    <row r="699" ht="14.25" customHeight="1">
      <c r="M699" s="38"/>
    </row>
    <row r="700" ht="14.25" customHeight="1">
      <c r="M700" s="38"/>
    </row>
    <row r="701" ht="14.25" customHeight="1">
      <c r="M701" s="38"/>
    </row>
    <row r="702" ht="14.25" customHeight="1">
      <c r="M702" s="38"/>
    </row>
    <row r="703" ht="14.25" customHeight="1">
      <c r="M703" s="38"/>
    </row>
    <row r="704" ht="14.25" customHeight="1">
      <c r="M704" s="38"/>
    </row>
    <row r="705" ht="14.25" customHeight="1">
      <c r="M705" s="38"/>
    </row>
    <row r="706" ht="14.25" customHeight="1">
      <c r="M706" s="38"/>
    </row>
    <row r="707" ht="14.25" customHeight="1">
      <c r="M707" s="38"/>
    </row>
    <row r="708" ht="14.25" customHeight="1">
      <c r="M708" s="38"/>
    </row>
    <row r="709" ht="14.25" customHeight="1">
      <c r="M709" s="38"/>
    </row>
    <row r="710" ht="14.25" customHeight="1">
      <c r="M710" s="38"/>
    </row>
    <row r="711" ht="14.25" customHeight="1">
      <c r="M711" s="38"/>
    </row>
    <row r="712" ht="14.25" customHeight="1">
      <c r="M712" s="38"/>
    </row>
    <row r="713" ht="14.25" customHeight="1">
      <c r="M713" s="38"/>
    </row>
    <row r="714" ht="14.25" customHeight="1">
      <c r="M714" s="38"/>
    </row>
    <row r="715" ht="14.25" customHeight="1">
      <c r="M715" s="38"/>
    </row>
    <row r="716" ht="14.25" customHeight="1">
      <c r="M716" s="38"/>
    </row>
    <row r="717" ht="14.25" customHeight="1">
      <c r="M717" s="38"/>
    </row>
    <row r="718" ht="14.25" customHeight="1">
      <c r="M718" s="38"/>
    </row>
    <row r="719" ht="14.25" customHeight="1">
      <c r="M719" s="38"/>
    </row>
    <row r="720" ht="14.25" customHeight="1">
      <c r="M720" s="38"/>
    </row>
    <row r="721" ht="14.25" customHeight="1">
      <c r="M721" s="38"/>
    </row>
    <row r="722" ht="14.25" customHeight="1">
      <c r="M722" s="38"/>
    </row>
    <row r="723" ht="14.25" customHeight="1">
      <c r="M723" s="38"/>
    </row>
    <row r="724" ht="14.25" customHeight="1">
      <c r="M724" s="38"/>
    </row>
    <row r="725" ht="14.25" customHeight="1">
      <c r="M725" s="38"/>
    </row>
    <row r="726" ht="14.25" customHeight="1">
      <c r="M726" s="38"/>
    </row>
    <row r="727" ht="14.25" customHeight="1">
      <c r="M727" s="38"/>
    </row>
    <row r="728" ht="14.25" customHeight="1">
      <c r="M728" s="38"/>
    </row>
    <row r="729" ht="14.25" customHeight="1">
      <c r="M729" s="38"/>
    </row>
    <row r="730" ht="14.25" customHeight="1">
      <c r="M730" s="38"/>
    </row>
    <row r="731" ht="14.25" customHeight="1">
      <c r="M731" s="38"/>
    </row>
    <row r="732" ht="14.25" customHeight="1">
      <c r="M732" s="38"/>
    </row>
    <row r="733" ht="14.25" customHeight="1">
      <c r="M733" s="38"/>
    </row>
    <row r="734" ht="14.25" customHeight="1">
      <c r="M734" s="38"/>
    </row>
    <row r="735" ht="14.25" customHeight="1">
      <c r="M735" s="38"/>
    </row>
    <row r="736" ht="14.25" customHeight="1">
      <c r="M736" s="38"/>
    </row>
    <row r="737" ht="14.25" customHeight="1">
      <c r="M737" s="38"/>
    </row>
    <row r="738" ht="14.25" customHeight="1">
      <c r="M738" s="38"/>
    </row>
    <row r="739" ht="14.25" customHeight="1">
      <c r="M739" s="38"/>
    </row>
    <row r="740" ht="14.25" customHeight="1">
      <c r="M740" s="38"/>
    </row>
    <row r="741" ht="14.25" customHeight="1">
      <c r="M741" s="38"/>
    </row>
    <row r="742" ht="14.25" customHeight="1">
      <c r="M742" s="38"/>
    </row>
    <row r="743" ht="14.25" customHeight="1">
      <c r="M743" s="38"/>
    </row>
    <row r="744" ht="14.25" customHeight="1">
      <c r="M744" s="38"/>
    </row>
    <row r="745" ht="14.25" customHeight="1">
      <c r="M745" s="38"/>
    </row>
    <row r="746" ht="14.25" customHeight="1">
      <c r="M746" s="38"/>
    </row>
    <row r="747" ht="14.25" customHeight="1">
      <c r="M747" s="38"/>
    </row>
    <row r="748" ht="14.25" customHeight="1">
      <c r="M748" s="38"/>
    </row>
    <row r="749" ht="14.25" customHeight="1">
      <c r="M749" s="38"/>
    </row>
    <row r="750" ht="14.25" customHeight="1">
      <c r="M750" s="38"/>
    </row>
    <row r="751" ht="14.25" customHeight="1">
      <c r="M751" s="38"/>
    </row>
    <row r="752" ht="14.25" customHeight="1">
      <c r="M752" s="38"/>
    </row>
    <row r="753" ht="14.25" customHeight="1">
      <c r="M753" s="38"/>
    </row>
    <row r="754" ht="14.25" customHeight="1">
      <c r="M754" s="38"/>
    </row>
    <row r="755" ht="14.25" customHeight="1">
      <c r="M755" s="38"/>
    </row>
    <row r="756" ht="14.25" customHeight="1">
      <c r="M756" s="38"/>
    </row>
    <row r="757" ht="14.25" customHeight="1">
      <c r="M757" s="38"/>
    </row>
    <row r="758" ht="14.25" customHeight="1">
      <c r="M758" s="38"/>
    </row>
    <row r="759" ht="14.25" customHeight="1">
      <c r="M759" s="38"/>
    </row>
    <row r="760" ht="14.25" customHeight="1">
      <c r="M760" s="38"/>
    </row>
    <row r="761" ht="14.25" customHeight="1">
      <c r="M761" s="38"/>
    </row>
    <row r="762" ht="14.25" customHeight="1">
      <c r="M762" s="38"/>
    </row>
    <row r="763" ht="14.25" customHeight="1">
      <c r="M763" s="38"/>
    </row>
    <row r="764" ht="14.25" customHeight="1">
      <c r="M764" s="38"/>
    </row>
    <row r="765" ht="14.25" customHeight="1">
      <c r="M765" s="38"/>
    </row>
    <row r="766" ht="14.25" customHeight="1">
      <c r="M766" s="38"/>
    </row>
    <row r="767" ht="14.25" customHeight="1">
      <c r="M767" s="38"/>
    </row>
    <row r="768" ht="14.25" customHeight="1">
      <c r="M768" s="38"/>
    </row>
    <row r="769" ht="14.25" customHeight="1">
      <c r="M769" s="38"/>
    </row>
    <row r="770" ht="14.25" customHeight="1">
      <c r="M770" s="38"/>
    </row>
    <row r="771" ht="14.25" customHeight="1">
      <c r="M771" s="38"/>
    </row>
    <row r="772" ht="14.25" customHeight="1">
      <c r="M772" s="38"/>
    </row>
    <row r="773" ht="14.25" customHeight="1">
      <c r="M773" s="38"/>
    </row>
    <row r="774" ht="14.25" customHeight="1">
      <c r="M774" s="38"/>
    </row>
    <row r="775" ht="14.25" customHeight="1">
      <c r="M775" s="38"/>
    </row>
    <row r="776" ht="14.25" customHeight="1">
      <c r="M776" s="38"/>
    </row>
    <row r="777" ht="14.25" customHeight="1">
      <c r="M777" s="38"/>
    </row>
    <row r="778" ht="14.25" customHeight="1">
      <c r="M778" s="38"/>
    </row>
    <row r="779" ht="14.25" customHeight="1">
      <c r="M779" s="38"/>
    </row>
    <row r="780" ht="14.25" customHeight="1">
      <c r="M780" s="38"/>
    </row>
    <row r="781" ht="14.25" customHeight="1">
      <c r="M781" s="38"/>
    </row>
    <row r="782" ht="14.25" customHeight="1">
      <c r="M782" s="38"/>
    </row>
    <row r="783" ht="14.25" customHeight="1">
      <c r="M783" s="38"/>
    </row>
    <row r="784" ht="14.25" customHeight="1">
      <c r="M784" s="38"/>
    </row>
    <row r="785" ht="14.25" customHeight="1">
      <c r="M785" s="38"/>
    </row>
    <row r="786" ht="14.25" customHeight="1">
      <c r="M786" s="38"/>
    </row>
    <row r="787" ht="14.25" customHeight="1">
      <c r="M787" s="38"/>
    </row>
    <row r="788" ht="14.25" customHeight="1">
      <c r="M788" s="38"/>
    </row>
    <row r="789" ht="14.25" customHeight="1">
      <c r="M789" s="38"/>
    </row>
    <row r="790" ht="14.25" customHeight="1">
      <c r="M790" s="38"/>
    </row>
    <row r="791" ht="14.25" customHeight="1">
      <c r="M791" s="38"/>
    </row>
    <row r="792" ht="14.25" customHeight="1">
      <c r="M792" s="38"/>
    </row>
    <row r="793" ht="14.25" customHeight="1">
      <c r="M793" s="38"/>
    </row>
    <row r="794" ht="14.25" customHeight="1">
      <c r="M794" s="38"/>
    </row>
    <row r="795" ht="14.25" customHeight="1">
      <c r="M795" s="38"/>
    </row>
    <row r="796" ht="14.25" customHeight="1">
      <c r="M796" s="38"/>
    </row>
    <row r="797" ht="14.25" customHeight="1">
      <c r="M797" s="38"/>
    </row>
    <row r="798" ht="14.25" customHeight="1">
      <c r="M798" s="38"/>
    </row>
    <row r="799" ht="14.25" customHeight="1">
      <c r="M799" s="38"/>
    </row>
    <row r="800" ht="14.25" customHeight="1">
      <c r="M800" s="38"/>
    </row>
    <row r="801" ht="14.25" customHeight="1">
      <c r="M801" s="38"/>
    </row>
    <row r="802" ht="14.25" customHeight="1">
      <c r="M802" s="38"/>
    </row>
    <row r="803" ht="14.25" customHeight="1">
      <c r="M803" s="38"/>
    </row>
    <row r="804" ht="14.25" customHeight="1">
      <c r="M804" s="38"/>
    </row>
    <row r="805" ht="14.25" customHeight="1">
      <c r="M805" s="38"/>
    </row>
    <row r="806" ht="14.25" customHeight="1">
      <c r="M806" s="38"/>
    </row>
    <row r="807" ht="14.25" customHeight="1">
      <c r="M807" s="38"/>
    </row>
    <row r="808" ht="14.25" customHeight="1">
      <c r="M808" s="38"/>
    </row>
    <row r="809" ht="14.25" customHeight="1">
      <c r="M809" s="38"/>
    </row>
    <row r="810" ht="14.25" customHeight="1">
      <c r="M810" s="38"/>
    </row>
    <row r="811" ht="14.25" customHeight="1">
      <c r="M811" s="38"/>
    </row>
    <row r="812" ht="14.25" customHeight="1">
      <c r="M812" s="38"/>
    </row>
    <row r="813" ht="14.25" customHeight="1">
      <c r="M813" s="38"/>
    </row>
    <row r="814" ht="14.25" customHeight="1">
      <c r="M814" s="38"/>
    </row>
    <row r="815" ht="14.25" customHeight="1">
      <c r="M815" s="38"/>
    </row>
    <row r="816" ht="14.25" customHeight="1">
      <c r="M816" s="38"/>
    </row>
    <row r="817" ht="14.25" customHeight="1">
      <c r="M817" s="38"/>
    </row>
    <row r="818" ht="14.25" customHeight="1">
      <c r="M818" s="38"/>
    </row>
    <row r="819" ht="14.25" customHeight="1">
      <c r="M819" s="38"/>
    </row>
    <row r="820" ht="14.25" customHeight="1">
      <c r="M820" s="38"/>
    </row>
    <row r="821" ht="14.25" customHeight="1">
      <c r="M821" s="38"/>
    </row>
    <row r="822" ht="14.25" customHeight="1">
      <c r="M822" s="38"/>
    </row>
    <row r="823" ht="14.25" customHeight="1">
      <c r="M823" s="38"/>
    </row>
    <row r="824" ht="14.25" customHeight="1">
      <c r="M824" s="38"/>
    </row>
    <row r="825" ht="14.25" customHeight="1">
      <c r="M825" s="38"/>
    </row>
    <row r="826" ht="14.25" customHeight="1">
      <c r="M826" s="38"/>
    </row>
    <row r="827" ht="14.25" customHeight="1">
      <c r="M827" s="38"/>
    </row>
    <row r="828" ht="14.25" customHeight="1">
      <c r="M828" s="38"/>
    </row>
    <row r="829" ht="14.25" customHeight="1">
      <c r="M829" s="38"/>
    </row>
    <row r="830" ht="14.25" customHeight="1">
      <c r="M830" s="38"/>
    </row>
    <row r="831" ht="14.25" customHeight="1">
      <c r="M831" s="38"/>
    </row>
    <row r="832" ht="14.25" customHeight="1">
      <c r="M832" s="38"/>
    </row>
    <row r="833" ht="14.25" customHeight="1">
      <c r="M833" s="38"/>
    </row>
    <row r="834" ht="14.25" customHeight="1">
      <c r="M834" s="38"/>
    </row>
    <row r="835" ht="14.25" customHeight="1">
      <c r="M835" s="38"/>
    </row>
    <row r="836" ht="14.25" customHeight="1">
      <c r="M836" s="38"/>
    </row>
    <row r="837" ht="14.25" customHeight="1">
      <c r="M837" s="38"/>
    </row>
    <row r="838" ht="14.25" customHeight="1">
      <c r="M838" s="38"/>
    </row>
    <row r="839" ht="14.25" customHeight="1">
      <c r="M839" s="38"/>
    </row>
    <row r="840" ht="14.25" customHeight="1">
      <c r="M840" s="38"/>
    </row>
    <row r="841" ht="14.25" customHeight="1">
      <c r="M841" s="38"/>
    </row>
    <row r="842" ht="14.25" customHeight="1">
      <c r="M842" s="38"/>
    </row>
    <row r="843" ht="14.25" customHeight="1">
      <c r="M843" s="38"/>
    </row>
    <row r="844" ht="14.25" customHeight="1">
      <c r="M844" s="38"/>
    </row>
    <row r="845" ht="14.25" customHeight="1">
      <c r="M845" s="38"/>
    </row>
    <row r="846" ht="14.25" customHeight="1">
      <c r="M846" s="38"/>
    </row>
    <row r="847" ht="14.25" customHeight="1">
      <c r="M847" s="38"/>
    </row>
    <row r="848" ht="14.25" customHeight="1">
      <c r="M848" s="38"/>
    </row>
    <row r="849" ht="14.25" customHeight="1">
      <c r="M849" s="38"/>
    </row>
    <row r="850" ht="14.25" customHeight="1">
      <c r="M850" s="38"/>
    </row>
    <row r="851" ht="14.25" customHeight="1">
      <c r="M851" s="38"/>
    </row>
    <row r="852" ht="14.25" customHeight="1">
      <c r="M852" s="38"/>
    </row>
    <row r="853" ht="14.25" customHeight="1">
      <c r="M853" s="38"/>
    </row>
    <row r="854" ht="14.25" customHeight="1">
      <c r="M854" s="38"/>
    </row>
    <row r="855" ht="14.25" customHeight="1">
      <c r="M855" s="38"/>
    </row>
    <row r="856" ht="14.25" customHeight="1">
      <c r="M856" s="38"/>
    </row>
    <row r="857" ht="14.25" customHeight="1">
      <c r="M857" s="38"/>
    </row>
    <row r="858" ht="14.25" customHeight="1">
      <c r="M858" s="38"/>
    </row>
    <row r="859" ht="14.25" customHeight="1">
      <c r="M859" s="38"/>
    </row>
    <row r="860" ht="14.25" customHeight="1">
      <c r="M860" s="38"/>
    </row>
    <row r="861" ht="14.25" customHeight="1">
      <c r="M861" s="38"/>
    </row>
    <row r="862" ht="14.25" customHeight="1">
      <c r="M862" s="38"/>
    </row>
    <row r="863" ht="14.25" customHeight="1">
      <c r="M863" s="38"/>
    </row>
    <row r="864" ht="14.25" customHeight="1">
      <c r="M864" s="38"/>
    </row>
    <row r="865" ht="14.25" customHeight="1">
      <c r="M865" s="38"/>
    </row>
    <row r="866" ht="14.25" customHeight="1">
      <c r="M866" s="38"/>
    </row>
    <row r="867" ht="14.25" customHeight="1">
      <c r="M867" s="38"/>
    </row>
    <row r="868" ht="14.25" customHeight="1">
      <c r="M868" s="38"/>
    </row>
    <row r="869" ht="14.25" customHeight="1">
      <c r="M869" s="38"/>
    </row>
    <row r="870" ht="14.25" customHeight="1">
      <c r="M870" s="38"/>
    </row>
    <row r="871" ht="14.25" customHeight="1">
      <c r="M871" s="38"/>
    </row>
    <row r="872" ht="14.25" customHeight="1">
      <c r="M872" s="38"/>
    </row>
    <row r="873" ht="14.25" customHeight="1">
      <c r="M873" s="38"/>
    </row>
    <row r="874" ht="14.25" customHeight="1">
      <c r="M874" s="38"/>
    </row>
    <row r="875" ht="14.25" customHeight="1">
      <c r="M875" s="38"/>
    </row>
    <row r="876" ht="14.25" customHeight="1">
      <c r="M876" s="38"/>
    </row>
    <row r="877" ht="14.25" customHeight="1">
      <c r="M877" s="38"/>
    </row>
    <row r="878" ht="14.25" customHeight="1">
      <c r="M878" s="38"/>
    </row>
    <row r="879" ht="14.25" customHeight="1">
      <c r="M879" s="38"/>
    </row>
    <row r="880" ht="14.25" customHeight="1">
      <c r="M880" s="38"/>
    </row>
    <row r="881" ht="14.25" customHeight="1">
      <c r="M881" s="38"/>
    </row>
    <row r="882" ht="14.25" customHeight="1">
      <c r="M882" s="38"/>
    </row>
    <row r="883" ht="14.25" customHeight="1">
      <c r="M883" s="38"/>
    </row>
    <row r="884" ht="14.25" customHeight="1">
      <c r="M884" s="38"/>
    </row>
    <row r="885" ht="14.25" customHeight="1">
      <c r="M885" s="38"/>
    </row>
    <row r="886" ht="14.25" customHeight="1">
      <c r="M886" s="38"/>
    </row>
    <row r="887" ht="14.25" customHeight="1">
      <c r="M887" s="38"/>
    </row>
    <row r="888" ht="14.25" customHeight="1">
      <c r="M888" s="38"/>
    </row>
    <row r="889" ht="14.25" customHeight="1">
      <c r="M889" s="38"/>
    </row>
    <row r="890" ht="14.25" customHeight="1">
      <c r="M890" s="38"/>
    </row>
    <row r="891" ht="14.25" customHeight="1">
      <c r="M891" s="38"/>
    </row>
    <row r="892" ht="14.25" customHeight="1">
      <c r="M892" s="38"/>
    </row>
    <row r="893" ht="14.25" customHeight="1">
      <c r="M893" s="38"/>
    </row>
    <row r="894" ht="14.25" customHeight="1">
      <c r="M894" s="38"/>
    </row>
    <row r="895" ht="14.25" customHeight="1">
      <c r="M895" s="38"/>
    </row>
    <row r="896" ht="14.25" customHeight="1">
      <c r="M896" s="38"/>
    </row>
    <row r="897" ht="14.25" customHeight="1">
      <c r="M897" s="38"/>
    </row>
    <row r="898" ht="14.25" customHeight="1">
      <c r="M898" s="38"/>
    </row>
    <row r="899" ht="14.25" customHeight="1">
      <c r="M899" s="38"/>
    </row>
    <row r="900" ht="14.25" customHeight="1">
      <c r="M900" s="38"/>
    </row>
    <row r="901" ht="14.25" customHeight="1">
      <c r="M901" s="38"/>
    </row>
    <row r="902" ht="14.25" customHeight="1">
      <c r="M902" s="38"/>
    </row>
    <row r="903" ht="14.25" customHeight="1">
      <c r="M903" s="38"/>
    </row>
    <row r="904" ht="14.25" customHeight="1">
      <c r="M904" s="38"/>
    </row>
    <row r="905" ht="14.25" customHeight="1">
      <c r="M905" s="38"/>
    </row>
    <row r="906" ht="14.25" customHeight="1">
      <c r="M906" s="38"/>
    </row>
    <row r="907" ht="14.25" customHeight="1">
      <c r="M907" s="38"/>
    </row>
    <row r="908" ht="14.25" customHeight="1">
      <c r="M908" s="38"/>
    </row>
    <row r="909" ht="14.25" customHeight="1">
      <c r="M909" s="38"/>
    </row>
    <row r="910" ht="14.25" customHeight="1">
      <c r="M910" s="38"/>
    </row>
    <row r="911" ht="14.25" customHeight="1">
      <c r="M911" s="38"/>
    </row>
    <row r="912" ht="14.25" customHeight="1">
      <c r="M912" s="38"/>
    </row>
    <row r="913" ht="14.25" customHeight="1">
      <c r="M913" s="38"/>
    </row>
    <row r="914" ht="14.25" customHeight="1">
      <c r="M914" s="38"/>
    </row>
    <row r="915" ht="14.25" customHeight="1">
      <c r="M915" s="38"/>
    </row>
    <row r="916" ht="14.25" customHeight="1">
      <c r="M916" s="38"/>
    </row>
    <row r="917" ht="14.25" customHeight="1">
      <c r="M917" s="38"/>
    </row>
    <row r="918" ht="14.25" customHeight="1">
      <c r="M918" s="38"/>
    </row>
    <row r="919" ht="14.25" customHeight="1">
      <c r="M919" s="38"/>
    </row>
    <row r="920" ht="14.25" customHeight="1">
      <c r="M920" s="38"/>
    </row>
    <row r="921" ht="14.25" customHeight="1">
      <c r="M921" s="38"/>
    </row>
    <row r="922" ht="14.25" customHeight="1">
      <c r="M922" s="38"/>
    </row>
    <row r="923" ht="14.25" customHeight="1">
      <c r="M923" s="38"/>
    </row>
    <row r="924" ht="14.25" customHeight="1">
      <c r="M924" s="38"/>
    </row>
    <row r="925" ht="14.25" customHeight="1">
      <c r="M925" s="38"/>
    </row>
    <row r="926" ht="14.25" customHeight="1">
      <c r="M926" s="38"/>
    </row>
    <row r="927" ht="14.25" customHeight="1">
      <c r="M927" s="38"/>
    </row>
    <row r="928" ht="14.25" customHeight="1">
      <c r="M928" s="38"/>
    </row>
    <row r="929" ht="14.25" customHeight="1">
      <c r="M929" s="38"/>
    </row>
    <row r="930" ht="14.25" customHeight="1">
      <c r="M930" s="38"/>
    </row>
    <row r="931" ht="14.25" customHeight="1">
      <c r="M931" s="38"/>
    </row>
    <row r="932" ht="14.25" customHeight="1">
      <c r="M932" s="38"/>
    </row>
    <row r="933" ht="14.25" customHeight="1">
      <c r="M933" s="38"/>
    </row>
    <row r="934" ht="14.25" customHeight="1">
      <c r="M934" s="38"/>
    </row>
    <row r="935" ht="14.25" customHeight="1">
      <c r="M935" s="38"/>
    </row>
    <row r="936" ht="14.25" customHeight="1">
      <c r="M936" s="38"/>
    </row>
    <row r="937" ht="14.25" customHeight="1">
      <c r="M937" s="38"/>
    </row>
    <row r="938" ht="14.25" customHeight="1">
      <c r="M938" s="38"/>
    </row>
    <row r="939" ht="14.25" customHeight="1">
      <c r="M939" s="38"/>
    </row>
    <row r="940" ht="14.25" customHeight="1">
      <c r="M940" s="38"/>
    </row>
    <row r="941" ht="14.25" customHeight="1">
      <c r="M941" s="38"/>
    </row>
    <row r="942" ht="14.25" customHeight="1">
      <c r="M942" s="38"/>
    </row>
    <row r="943" ht="14.25" customHeight="1">
      <c r="M943" s="38"/>
    </row>
    <row r="944" ht="14.25" customHeight="1">
      <c r="M944" s="38"/>
    </row>
    <row r="945" ht="14.25" customHeight="1">
      <c r="M945" s="38"/>
    </row>
    <row r="946" ht="14.25" customHeight="1">
      <c r="M946" s="38"/>
    </row>
    <row r="947" ht="14.25" customHeight="1">
      <c r="M947" s="38"/>
    </row>
    <row r="948" ht="14.25" customHeight="1">
      <c r="M948" s="38"/>
    </row>
    <row r="949" ht="14.25" customHeight="1">
      <c r="M949" s="38"/>
    </row>
    <row r="950" ht="14.25" customHeight="1">
      <c r="M950" s="38"/>
    </row>
    <row r="951" ht="14.25" customHeight="1">
      <c r="M951" s="38"/>
    </row>
    <row r="952" ht="14.25" customHeight="1">
      <c r="M952" s="38"/>
    </row>
    <row r="953" ht="14.25" customHeight="1">
      <c r="M953" s="38"/>
    </row>
    <row r="954" ht="14.25" customHeight="1">
      <c r="M954" s="38"/>
    </row>
    <row r="955" ht="14.25" customHeight="1">
      <c r="M955" s="38"/>
    </row>
    <row r="956" ht="14.25" customHeight="1">
      <c r="M956" s="38"/>
    </row>
    <row r="957" ht="14.25" customHeight="1">
      <c r="M957" s="38"/>
    </row>
    <row r="958" ht="14.25" customHeight="1">
      <c r="M958" s="38"/>
    </row>
    <row r="959" ht="14.25" customHeight="1">
      <c r="M959" s="38"/>
    </row>
    <row r="960" ht="14.25" customHeight="1">
      <c r="M960" s="38"/>
    </row>
    <row r="961" ht="14.25" customHeight="1">
      <c r="M961" s="38"/>
    </row>
    <row r="962" ht="14.25" customHeight="1">
      <c r="M962" s="38"/>
    </row>
    <row r="963" ht="14.25" customHeight="1">
      <c r="M963" s="38"/>
    </row>
    <row r="964" ht="14.25" customHeight="1">
      <c r="M964" s="38"/>
    </row>
    <row r="965" ht="14.25" customHeight="1">
      <c r="M965" s="38"/>
    </row>
    <row r="966" ht="14.25" customHeight="1">
      <c r="M966" s="38"/>
    </row>
    <row r="967" ht="14.25" customHeight="1">
      <c r="M967" s="38"/>
    </row>
    <row r="968" ht="14.25" customHeight="1">
      <c r="M968" s="38"/>
    </row>
    <row r="969" ht="14.25" customHeight="1">
      <c r="M969" s="38"/>
    </row>
    <row r="970" ht="14.25" customHeight="1">
      <c r="M970" s="38"/>
    </row>
    <row r="971" ht="14.25" customHeight="1">
      <c r="M971" s="38"/>
    </row>
    <row r="972" ht="14.25" customHeight="1">
      <c r="M972" s="38"/>
    </row>
    <row r="973" ht="14.25" customHeight="1">
      <c r="M973" s="38"/>
    </row>
    <row r="974" ht="14.25" customHeight="1">
      <c r="M974" s="38"/>
    </row>
    <row r="975" ht="14.25" customHeight="1">
      <c r="M975" s="38"/>
    </row>
    <row r="976" ht="14.25" customHeight="1">
      <c r="M976" s="38"/>
    </row>
    <row r="977" ht="14.25" customHeight="1">
      <c r="M977" s="38"/>
    </row>
    <row r="978" ht="14.25" customHeight="1">
      <c r="M978" s="38"/>
    </row>
    <row r="979" ht="14.25" customHeight="1">
      <c r="M979" s="38"/>
    </row>
    <row r="980" ht="14.25" customHeight="1">
      <c r="M980" s="38"/>
    </row>
    <row r="981" ht="14.25" customHeight="1">
      <c r="M981" s="38"/>
    </row>
    <row r="982" ht="14.25" customHeight="1">
      <c r="M982" s="38"/>
    </row>
    <row r="983" ht="14.25" customHeight="1">
      <c r="M983" s="38"/>
    </row>
    <row r="984" ht="14.25" customHeight="1">
      <c r="M984" s="38"/>
    </row>
    <row r="985" ht="14.25" customHeight="1">
      <c r="M985" s="38"/>
    </row>
    <row r="986" ht="14.25" customHeight="1">
      <c r="M986" s="38"/>
    </row>
    <row r="987" ht="14.25" customHeight="1">
      <c r="M987" s="38"/>
    </row>
    <row r="988" ht="14.25" customHeight="1">
      <c r="M988" s="38"/>
    </row>
    <row r="989" ht="14.25" customHeight="1">
      <c r="M989" s="38"/>
    </row>
    <row r="990" ht="14.25" customHeight="1">
      <c r="M990" s="38"/>
    </row>
    <row r="991" ht="14.25" customHeight="1">
      <c r="M991" s="38"/>
    </row>
    <row r="992" ht="14.25" customHeight="1">
      <c r="M992" s="38"/>
    </row>
    <row r="993" ht="14.25" customHeight="1">
      <c r="M993" s="38"/>
    </row>
    <row r="994" ht="14.25" customHeight="1">
      <c r="M994" s="38"/>
    </row>
    <row r="995" ht="14.25" customHeight="1">
      <c r="M995" s="38"/>
    </row>
    <row r="996" ht="14.25" customHeight="1">
      <c r="M996" s="38"/>
    </row>
    <row r="997" ht="14.25" customHeight="1">
      <c r="M997" s="38"/>
    </row>
    <row r="998" ht="14.25" customHeight="1">
      <c r="M998" s="38"/>
    </row>
    <row r="999" ht="14.25" customHeight="1">
      <c r="M999" s="38"/>
    </row>
    <row r="1000" ht="14.25" customHeight="1">
      <c r="M1000" s="38"/>
    </row>
  </sheetData>
  <autoFilter ref="$A$1:$X$47">
    <sortState ref="A1:X47">
      <sortCondition ref="D1:D47"/>
      <sortCondition descending="1" ref="K1:K47"/>
      <sortCondition ref="C1:C47"/>
    </sortState>
  </autoFilter>
  <hyperlinks>
    <hyperlink r:id="rId1" ref="L2"/>
    <hyperlink r:id="rId2" ref="M2"/>
    <hyperlink r:id="rId3" ref="L3"/>
    <hyperlink r:id="rId4" ref="M3"/>
    <hyperlink r:id="rId5" ref="L4"/>
    <hyperlink r:id="rId6" ref="M4"/>
    <hyperlink r:id="rId7" ref="L5"/>
    <hyperlink r:id="rId8" ref="M5"/>
    <hyperlink r:id="rId9" ref="L6"/>
    <hyperlink r:id="rId10" ref="M6"/>
    <hyperlink r:id="rId11" ref="L7"/>
    <hyperlink r:id="rId12" ref="M7"/>
    <hyperlink r:id="rId13" ref="L8"/>
    <hyperlink r:id="rId14" ref="M8"/>
    <hyperlink r:id="rId15" ref="L9"/>
    <hyperlink r:id="rId16" ref="M9"/>
    <hyperlink r:id="rId17" ref="L10"/>
    <hyperlink r:id="rId18" ref="M10"/>
    <hyperlink r:id="rId19" ref="L11"/>
    <hyperlink r:id="rId20" ref="M11"/>
    <hyperlink r:id="rId21" ref="L12"/>
    <hyperlink r:id="rId22" ref="M12"/>
    <hyperlink r:id="rId23" ref="L13"/>
    <hyperlink r:id="rId24" ref="M13"/>
    <hyperlink r:id="rId25" ref="L14"/>
    <hyperlink r:id="rId26" ref="M14"/>
    <hyperlink r:id="rId27" ref="L15"/>
    <hyperlink r:id="rId28" ref="M15"/>
    <hyperlink r:id="rId29" ref="L16"/>
    <hyperlink r:id="rId30" ref="M16"/>
    <hyperlink r:id="rId31" ref="L17"/>
    <hyperlink r:id="rId32" ref="M17"/>
    <hyperlink r:id="rId33" ref="L18"/>
    <hyperlink r:id="rId34" ref="M18"/>
    <hyperlink r:id="rId35" ref="L19"/>
    <hyperlink r:id="rId36" ref="M19"/>
    <hyperlink r:id="rId37" ref="L20"/>
    <hyperlink r:id="rId38" ref="M20"/>
    <hyperlink r:id="rId39" ref="L21"/>
    <hyperlink r:id="rId40" ref="M21"/>
    <hyperlink r:id="rId41" ref="L22"/>
    <hyperlink r:id="rId42" ref="M22"/>
    <hyperlink r:id="rId43" ref="L23"/>
    <hyperlink r:id="rId44" ref="M23"/>
    <hyperlink r:id="rId45" ref="L24"/>
    <hyperlink r:id="rId46" ref="M24"/>
    <hyperlink r:id="rId47" ref="L25"/>
    <hyperlink r:id="rId48" ref="M25"/>
    <hyperlink r:id="rId49" ref="L26"/>
    <hyperlink r:id="rId50" ref="M26"/>
    <hyperlink r:id="rId51" ref="L27"/>
    <hyperlink r:id="rId52" ref="M27"/>
    <hyperlink r:id="rId53" ref="L28"/>
    <hyperlink r:id="rId54" ref="M28"/>
    <hyperlink r:id="rId55" ref="L29"/>
    <hyperlink r:id="rId56" ref="M29"/>
    <hyperlink r:id="rId57" ref="L30"/>
    <hyperlink r:id="rId58" ref="M30"/>
    <hyperlink r:id="rId59" ref="L31"/>
    <hyperlink r:id="rId60" ref="M31"/>
    <hyperlink r:id="rId61" ref="L32"/>
    <hyperlink r:id="rId62" ref="M32"/>
    <hyperlink r:id="rId63" ref="L33"/>
    <hyperlink r:id="rId64" ref="M33"/>
    <hyperlink r:id="rId65" ref="L34"/>
    <hyperlink r:id="rId66" ref="M34"/>
    <hyperlink r:id="rId67" ref="L35"/>
    <hyperlink r:id="rId68" ref="M35"/>
    <hyperlink r:id="rId69" ref="L36"/>
    <hyperlink r:id="rId70" ref="M36"/>
    <hyperlink r:id="rId71" ref="L37"/>
    <hyperlink r:id="rId72" ref="M37"/>
    <hyperlink r:id="rId73" ref="L38"/>
    <hyperlink r:id="rId74" ref="M38"/>
    <hyperlink r:id="rId75" ref="L39"/>
    <hyperlink r:id="rId76" ref="M39"/>
    <hyperlink r:id="rId77" ref="L40"/>
    <hyperlink r:id="rId78" ref="M40"/>
    <hyperlink r:id="rId79" ref="L41"/>
    <hyperlink r:id="rId80" ref="M41"/>
    <hyperlink r:id="rId81" ref="L42"/>
    <hyperlink r:id="rId82" ref="M42"/>
    <hyperlink r:id="rId83" ref="L43"/>
    <hyperlink r:id="rId84" ref="M43"/>
    <hyperlink r:id="rId85" ref="L44"/>
    <hyperlink r:id="rId86" ref="M44"/>
    <hyperlink r:id="rId87" ref="L45"/>
    <hyperlink r:id="rId88" ref="M45"/>
    <hyperlink r:id="rId89" ref="L46"/>
    <hyperlink r:id="rId90" ref="M46"/>
    <hyperlink r:id="rId91" ref="L47"/>
    <hyperlink r:id="rId92" ref="M47"/>
  </hyperlinks>
  <printOptions/>
  <pageMargins bottom="0.75" footer="0.0" header="0.0" left="0.7" right="0.7" top="0.75"/>
  <pageSetup orientation="landscape"/>
  <drawing r:id="rId9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4.43"/>
    <col customWidth="1" min="4" max="4" width="24.57"/>
    <col customWidth="1" min="6" max="6" width="29.29"/>
    <col customWidth="1" min="7" max="7" width="51.71"/>
    <col customWidth="1" min="8" max="8" width="39.57"/>
    <col customWidth="1" min="10" max="10" width="78.14"/>
    <col customWidth="1" min="11" max="11" width="37.29"/>
    <col customWidth="1" min="12" max="12" width="35.71"/>
  </cols>
  <sheetData>
    <row r="1">
      <c r="A1" s="2" t="s">
        <v>0</v>
      </c>
      <c r="B1" s="2" t="s">
        <v>4</v>
      </c>
      <c r="C1" s="2" t="s">
        <v>5</v>
      </c>
      <c r="D1" s="2" t="s">
        <v>7</v>
      </c>
      <c r="E1" s="2" t="s">
        <v>8</v>
      </c>
      <c r="F1" s="2" t="s">
        <v>9</v>
      </c>
      <c r="G1" s="2" t="s">
        <v>12</v>
      </c>
      <c r="H1" s="2" t="s">
        <v>14</v>
      </c>
      <c r="I1" s="2" t="s">
        <v>16</v>
      </c>
      <c r="J1" s="2" t="s">
        <v>17</v>
      </c>
      <c r="K1" s="2" t="s">
        <v>18</v>
      </c>
      <c r="L1" s="2" t="s">
        <v>19</v>
      </c>
    </row>
    <row r="2">
      <c r="A2" s="6">
        <v>2504.0</v>
      </c>
      <c r="B2" s="6">
        <v>8.0</v>
      </c>
      <c r="C2" s="2" t="s">
        <v>37</v>
      </c>
      <c r="D2" s="2" t="s">
        <v>39</v>
      </c>
      <c r="E2" s="6">
        <v>7000.0</v>
      </c>
      <c r="F2" s="8"/>
      <c r="G2" s="2" t="s">
        <v>47</v>
      </c>
      <c r="H2" s="8"/>
      <c r="I2" s="2" t="s">
        <v>46</v>
      </c>
      <c r="J2" s="11" t="s">
        <v>210</v>
      </c>
      <c r="K2" s="11" t="s">
        <v>370</v>
      </c>
      <c r="L2" s="2" t="s">
        <v>373</v>
      </c>
    </row>
    <row r="3">
      <c r="A3" s="6">
        <v>527.0</v>
      </c>
      <c r="B3" s="6">
        <v>21.0</v>
      </c>
      <c r="C3" s="2" t="s">
        <v>221</v>
      </c>
      <c r="D3" s="2" t="s">
        <v>76</v>
      </c>
      <c r="E3" s="6">
        <v>2000.0</v>
      </c>
      <c r="F3" s="2" t="s">
        <v>55</v>
      </c>
      <c r="G3" s="2" t="s">
        <v>44</v>
      </c>
      <c r="H3" s="2" t="s">
        <v>44</v>
      </c>
      <c r="I3" s="2" t="s">
        <v>46</v>
      </c>
      <c r="J3" s="11" t="s">
        <v>226</v>
      </c>
      <c r="K3" s="11" t="s">
        <v>228</v>
      </c>
      <c r="L3" s="2" t="s">
        <v>231</v>
      </c>
    </row>
    <row r="4">
      <c r="A4" s="6">
        <v>2838.0</v>
      </c>
      <c r="B4" s="6">
        <v>19.0</v>
      </c>
      <c r="C4" s="2" t="s">
        <v>102</v>
      </c>
      <c r="D4" s="2" t="s">
        <v>105</v>
      </c>
      <c r="E4" s="6">
        <v>750.0</v>
      </c>
      <c r="F4" s="2" t="s">
        <v>23</v>
      </c>
      <c r="G4" s="2" t="s">
        <v>106</v>
      </c>
      <c r="H4" s="8"/>
      <c r="I4" s="2" t="s">
        <v>46</v>
      </c>
      <c r="J4" s="11" t="s">
        <v>340</v>
      </c>
      <c r="K4" s="11" t="s">
        <v>427</v>
      </c>
      <c r="L4" s="2" t="s">
        <v>429</v>
      </c>
    </row>
    <row r="5">
      <c r="A5" s="6">
        <v>570.0</v>
      </c>
      <c r="B5" s="6">
        <v>3.0</v>
      </c>
      <c r="C5" s="2" t="s">
        <v>83</v>
      </c>
      <c r="D5" s="2" t="s">
        <v>57</v>
      </c>
      <c r="E5" s="6">
        <v>6000.0</v>
      </c>
      <c r="F5" s="2" t="s">
        <v>55</v>
      </c>
      <c r="G5" s="2" t="s">
        <v>86</v>
      </c>
      <c r="H5" s="8"/>
      <c r="I5" s="2" t="s">
        <v>46</v>
      </c>
      <c r="J5" s="11" t="s">
        <v>88</v>
      </c>
      <c r="K5" s="11" t="s">
        <v>193</v>
      </c>
      <c r="L5" s="2" t="s">
        <v>200</v>
      </c>
    </row>
    <row r="6">
      <c r="A6" s="6">
        <v>2396.0</v>
      </c>
      <c r="B6" s="6">
        <v>16.0</v>
      </c>
      <c r="C6" s="2" t="s">
        <v>294</v>
      </c>
      <c r="D6" s="2" t="s">
        <v>161</v>
      </c>
      <c r="E6" s="6">
        <v>2200.0</v>
      </c>
      <c r="F6" s="8"/>
      <c r="G6" s="2" t="s">
        <v>162</v>
      </c>
      <c r="H6" s="2" t="s">
        <v>44</v>
      </c>
      <c r="I6" s="2" t="s">
        <v>46</v>
      </c>
      <c r="J6" s="11" t="s">
        <v>295</v>
      </c>
      <c r="K6" s="11" t="s">
        <v>409</v>
      </c>
      <c r="L6" s="2" t="s">
        <v>411</v>
      </c>
    </row>
    <row r="7">
      <c r="A7" s="6">
        <v>558.0</v>
      </c>
      <c r="B7" s="6">
        <v>24.0</v>
      </c>
      <c r="C7" s="2" t="s">
        <v>183</v>
      </c>
      <c r="D7" s="2" t="s">
        <v>154</v>
      </c>
      <c r="E7" s="6">
        <v>5000.0</v>
      </c>
      <c r="F7" s="2" t="s">
        <v>55</v>
      </c>
      <c r="G7" s="8"/>
      <c r="H7" s="2" t="s">
        <v>190</v>
      </c>
      <c r="I7" s="2" t="s">
        <v>33</v>
      </c>
      <c r="J7" s="11" t="s">
        <v>308</v>
      </c>
      <c r="K7" s="11" t="s">
        <v>309</v>
      </c>
      <c r="L7" s="2" t="s">
        <v>315</v>
      </c>
    </row>
    <row r="8">
      <c r="A8" s="6">
        <v>439.0</v>
      </c>
      <c r="B8" s="6">
        <v>1.0</v>
      </c>
      <c r="C8" s="2" t="s">
        <v>21</v>
      </c>
      <c r="D8" s="2" t="s">
        <v>22</v>
      </c>
      <c r="E8" s="6">
        <v>10500.0</v>
      </c>
      <c r="F8" s="2" t="s">
        <v>23</v>
      </c>
      <c r="G8" s="2" t="s">
        <v>31</v>
      </c>
      <c r="H8" s="8"/>
      <c r="I8" s="2" t="s">
        <v>33</v>
      </c>
      <c r="J8" s="11" t="s">
        <v>36</v>
      </c>
      <c r="K8" s="11" t="s">
        <v>49</v>
      </c>
      <c r="L8" s="2" t="s">
        <v>56</v>
      </c>
    </row>
    <row r="9">
      <c r="A9" s="6">
        <v>509.0</v>
      </c>
      <c r="B9" s="6">
        <v>9.0</v>
      </c>
      <c r="C9" s="2" t="s">
        <v>151</v>
      </c>
      <c r="D9" s="2" t="s">
        <v>152</v>
      </c>
      <c r="E9" s="6">
        <v>8500.0</v>
      </c>
      <c r="F9" s="2" t="s">
        <v>55</v>
      </c>
      <c r="G9" s="2" t="s">
        <v>68</v>
      </c>
      <c r="H9" s="8"/>
      <c r="I9" s="2" t="s">
        <v>33</v>
      </c>
      <c r="J9" s="11" t="s">
        <v>155</v>
      </c>
      <c r="K9" s="11" t="s">
        <v>164</v>
      </c>
      <c r="L9" s="2" t="s">
        <v>169</v>
      </c>
    </row>
    <row r="10">
      <c r="A10" s="6">
        <v>552.0</v>
      </c>
      <c r="B10" s="6">
        <v>1.0</v>
      </c>
      <c r="C10" s="2" t="s">
        <v>41</v>
      </c>
      <c r="D10" s="2" t="s">
        <v>42</v>
      </c>
      <c r="E10" s="6">
        <v>4000.0</v>
      </c>
      <c r="F10" s="2" t="s">
        <v>23</v>
      </c>
      <c r="G10" s="2" t="s">
        <v>43</v>
      </c>
      <c r="H10" s="2" t="s">
        <v>44</v>
      </c>
      <c r="I10" s="2" t="s">
        <v>46</v>
      </c>
      <c r="J10" s="11" t="s">
        <v>48</v>
      </c>
      <c r="K10" s="11" t="s">
        <v>71</v>
      </c>
      <c r="L10" s="2" t="s">
        <v>78</v>
      </c>
    </row>
    <row r="11">
      <c r="A11" s="6">
        <v>540.0</v>
      </c>
      <c r="B11" s="6">
        <v>15.0</v>
      </c>
      <c r="C11" s="2" t="s">
        <v>254</v>
      </c>
      <c r="D11" s="2" t="s">
        <v>66</v>
      </c>
      <c r="E11" s="6">
        <v>1700.0</v>
      </c>
      <c r="F11" s="2" t="s">
        <v>55</v>
      </c>
      <c r="G11" s="8"/>
      <c r="H11" s="2" t="s">
        <v>44</v>
      </c>
      <c r="I11" s="2" t="s">
        <v>46</v>
      </c>
      <c r="J11" s="11" t="s">
        <v>267</v>
      </c>
      <c r="K11" s="11" t="s">
        <v>268</v>
      </c>
      <c r="L11" s="2" t="s">
        <v>273</v>
      </c>
    </row>
    <row r="12">
      <c r="A12" s="6">
        <v>2306.0</v>
      </c>
      <c r="B12" s="6">
        <v>2.0</v>
      </c>
      <c r="C12" s="2" t="s">
        <v>65</v>
      </c>
      <c r="D12" s="2" t="s">
        <v>66</v>
      </c>
      <c r="E12" s="6">
        <v>3800.0</v>
      </c>
      <c r="F12" s="8"/>
      <c r="G12" s="2" t="s">
        <v>67</v>
      </c>
      <c r="H12" s="2" t="s">
        <v>68</v>
      </c>
      <c r="I12" s="2" t="s">
        <v>46</v>
      </c>
      <c r="J12" s="11" t="s">
        <v>69</v>
      </c>
      <c r="K12" s="11" t="s">
        <v>132</v>
      </c>
      <c r="L12" s="2" t="s">
        <v>137</v>
      </c>
    </row>
    <row r="13">
      <c r="A13" s="6">
        <v>503.0</v>
      </c>
      <c r="B13" s="6">
        <v>21.0</v>
      </c>
      <c r="C13" s="2" t="s">
        <v>122</v>
      </c>
      <c r="D13" s="2" t="s">
        <v>123</v>
      </c>
      <c r="E13" s="6">
        <v>7000.0</v>
      </c>
      <c r="F13" s="8"/>
      <c r="G13" s="2" t="s">
        <v>126</v>
      </c>
      <c r="H13" s="8"/>
      <c r="I13" s="2" t="s">
        <v>33</v>
      </c>
      <c r="J13" s="11" t="s">
        <v>129</v>
      </c>
      <c r="K13" s="11" t="s">
        <v>135</v>
      </c>
      <c r="L13" s="2" t="s">
        <v>141</v>
      </c>
    </row>
    <row r="14">
      <c r="A14" s="6">
        <v>433.0</v>
      </c>
      <c r="B14" s="6">
        <v>3.0</v>
      </c>
      <c r="C14" s="2" t="s">
        <v>27</v>
      </c>
      <c r="D14" s="2" t="s">
        <v>28</v>
      </c>
      <c r="E14" s="6">
        <v>22000.0</v>
      </c>
      <c r="F14" s="2" t="s">
        <v>29</v>
      </c>
      <c r="G14" s="2" t="s">
        <v>30</v>
      </c>
      <c r="H14" s="8"/>
      <c r="I14" s="2" t="s">
        <v>33</v>
      </c>
      <c r="J14" s="11" t="s">
        <v>34</v>
      </c>
      <c r="K14" s="11" t="s">
        <v>40</v>
      </c>
      <c r="L14" s="2" t="s">
        <v>51</v>
      </c>
    </row>
    <row r="15">
      <c r="A15" s="6">
        <v>2384.0</v>
      </c>
      <c r="B15" s="6">
        <v>23.0</v>
      </c>
      <c r="C15" s="2" t="s">
        <v>310</v>
      </c>
      <c r="D15" s="2" t="s">
        <v>76</v>
      </c>
      <c r="E15" s="6">
        <v>550.0</v>
      </c>
      <c r="F15" s="8"/>
      <c r="G15" s="2" t="s">
        <v>312</v>
      </c>
      <c r="H15" s="2" t="s">
        <v>312</v>
      </c>
      <c r="I15" s="2" t="s">
        <v>33</v>
      </c>
      <c r="J15" s="11" t="s">
        <v>375</v>
      </c>
      <c r="K15" s="11" t="s">
        <v>405</v>
      </c>
      <c r="L15" s="2" t="s">
        <v>406</v>
      </c>
    </row>
    <row r="16">
      <c r="A16" s="6">
        <v>549.0</v>
      </c>
      <c r="B16" s="6">
        <v>11.0</v>
      </c>
      <c r="C16" s="2" t="s">
        <v>248</v>
      </c>
      <c r="D16" s="2" t="s">
        <v>80</v>
      </c>
      <c r="E16" s="6">
        <v>3300.0</v>
      </c>
      <c r="F16" s="2" t="s">
        <v>55</v>
      </c>
      <c r="G16" s="2" t="s">
        <v>249</v>
      </c>
      <c r="H16" s="8"/>
      <c r="I16" s="2" t="s">
        <v>33</v>
      </c>
      <c r="J16" s="11" t="s">
        <v>250</v>
      </c>
      <c r="K16" s="11" t="s">
        <v>285</v>
      </c>
      <c r="L16" s="2" t="s">
        <v>289</v>
      </c>
    </row>
    <row r="17">
      <c r="A17" s="6">
        <v>2520.0</v>
      </c>
      <c r="B17" s="6">
        <v>16.0</v>
      </c>
      <c r="C17" s="2" t="s">
        <v>297</v>
      </c>
      <c r="D17" s="2" t="s">
        <v>298</v>
      </c>
      <c r="E17" s="6">
        <v>5500.0</v>
      </c>
      <c r="F17" s="8"/>
      <c r="G17" s="2" t="s">
        <v>300</v>
      </c>
      <c r="H17" s="2" t="s">
        <v>44</v>
      </c>
      <c r="I17" s="2" t="s">
        <v>33</v>
      </c>
      <c r="J17" s="11" t="s">
        <v>302</v>
      </c>
      <c r="K17" s="11" t="s">
        <v>422</v>
      </c>
      <c r="L17" s="2" t="s">
        <v>423</v>
      </c>
    </row>
    <row r="18">
      <c r="A18" s="6">
        <v>567.0</v>
      </c>
      <c r="B18" s="6">
        <v>9.0</v>
      </c>
      <c r="C18" s="2" t="s">
        <v>222</v>
      </c>
      <c r="D18" s="2" t="s">
        <v>223</v>
      </c>
      <c r="E18" s="6">
        <v>3200.0</v>
      </c>
      <c r="F18" s="2" t="s">
        <v>55</v>
      </c>
      <c r="G18" s="2" t="s">
        <v>224</v>
      </c>
      <c r="H18" s="2" t="s">
        <v>225</v>
      </c>
      <c r="I18" s="2" t="s">
        <v>46</v>
      </c>
      <c r="J18" s="11" t="s">
        <v>227</v>
      </c>
      <c r="K18" s="11" t="s">
        <v>338</v>
      </c>
      <c r="L18" s="2" t="s">
        <v>342</v>
      </c>
    </row>
    <row r="19">
      <c r="A19" s="6">
        <v>517.0</v>
      </c>
      <c r="B19" s="6">
        <v>5.0</v>
      </c>
      <c r="C19" s="2" t="s">
        <v>124</v>
      </c>
      <c r="D19" s="2" t="s">
        <v>42</v>
      </c>
      <c r="E19" s="6">
        <v>3500.0</v>
      </c>
      <c r="F19" s="2" t="s">
        <v>127</v>
      </c>
      <c r="G19" s="8"/>
      <c r="H19" s="8"/>
      <c r="I19" s="2" t="s">
        <v>46</v>
      </c>
      <c r="J19" s="11" t="s">
        <v>131</v>
      </c>
      <c r="K19" s="11" t="s">
        <v>194</v>
      </c>
      <c r="L19" s="2" t="s">
        <v>201</v>
      </c>
    </row>
    <row r="20">
      <c r="A20" s="6">
        <v>2850.0</v>
      </c>
      <c r="B20" s="6">
        <v>12.0</v>
      </c>
      <c r="C20" s="2" t="s">
        <v>252</v>
      </c>
      <c r="D20" s="2" t="s">
        <v>253</v>
      </c>
      <c r="E20" s="6">
        <v>3500.0</v>
      </c>
      <c r="F20" s="2" t="s">
        <v>23</v>
      </c>
      <c r="G20" s="8"/>
      <c r="H20" s="8"/>
      <c r="I20" s="2" t="s">
        <v>33</v>
      </c>
      <c r="J20" s="11" t="s">
        <v>257</v>
      </c>
      <c r="K20" s="11" t="s">
        <v>436</v>
      </c>
      <c r="L20" s="2" t="s">
        <v>437</v>
      </c>
    </row>
    <row r="21">
      <c r="A21" s="6">
        <v>555.0</v>
      </c>
      <c r="B21" s="6">
        <v>5.0</v>
      </c>
      <c r="C21" s="2" t="s">
        <v>138</v>
      </c>
      <c r="D21" s="2" t="s">
        <v>22</v>
      </c>
      <c r="E21" s="6">
        <v>36000.0</v>
      </c>
      <c r="F21" s="2" t="s">
        <v>139</v>
      </c>
      <c r="G21" s="8"/>
      <c r="H21" s="8"/>
      <c r="I21" s="2" t="s">
        <v>33</v>
      </c>
      <c r="J21" s="11" t="s">
        <v>144</v>
      </c>
      <c r="K21" s="11" t="s">
        <v>270</v>
      </c>
      <c r="L21" s="2" t="s">
        <v>274</v>
      </c>
    </row>
    <row r="22">
      <c r="A22" s="6">
        <v>491.0</v>
      </c>
      <c r="B22" s="6">
        <v>8.0</v>
      </c>
      <c r="C22" s="2" t="s">
        <v>90</v>
      </c>
      <c r="D22" s="2" t="s">
        <v>91</v>
      </c>
      <c r="E22" s="6">
        <v>2300.0</v>
      </c>
      <c r="F22" s="2" t="s">
        <v>55</v>
      </c>
      <c r="G22" s="2" t="s">
        <v>92</v>
      </c>
      <c r="H22" s="8"/>
      <c r="I22" s="2" t="s">
        <v>33</v>
      </c>
      <c r="J22" s="11" t="s">
        <v>93</v>
      </c>
      <c r="K22" s="11" t="s">
        <v>101</v>
      </c>
      <c r="L22" s="2" t="s">
        <v>108</v>
      </c>
    </row>
    <row r="23">
      <c r="A23" s="6">
        <v>561.0</v>
      </c>
      <c r="B23" s="6">
        <v>6.0</v>
      </c>
      <c r="C23" s="2" t="s">
        <v>153</v>
      </c>
      <c r="D23" s="2" t="s">
        <v>154</v>
      </c>
      <c r="E23" s="6">
        <v>7500.0</v>
      </c>
      <c r="F23" s="8"/>
      <c r="G23" s="2" t="s">
        <v>156</v>
      </c>
      <c r="H23" s="8"/>
      <c r="I23" s="2" t="s">
        <v>33</v>
      </c>
      <c r="J23" s="11" t="s">
        <v>159</v>
      </c>
      <c r="K23" s="11" t="s">
        <v>283</v>
      </c>
      <c r="L23" s="2" t="s">
        <v>287</v>
      </c>
    </row>
    <row r="24">
      <c r="A24" s="6">
        <v>1835.0</v>
      </c>
      <c r="B24" s="6">
        <v>10.0</v>
      </c>
      <c r="C24" s="2" t="s">
        <v>233</v>
      </c>
      <c r="D24" s="2" t="s">
        <v>95</v>
      </c>
      <c r="E24" s="6">
        <v>4500.0</v>
      </c>
      <c r="F24" s="8"/>
      <c r="G24" s="2" t="s">
        <v>234</v>
      </c>
      <c r="H24" s="2" t="s">
        <v>235</v>
      </c>
      <c r="I24" s="2" t="s">
        <v>46</v>
      </c>
      <c r="J24" s="11" t="s">
        <v>237</v>
      </c>
      <c r="K24" s="11" t="s">
        <v>350</v>
      </c>
      <c r="L24" s="2" t="s">
        <v>354</v>
      </c>
    </row>
    <row r="25">
      <c r="A25" s="6">
        <v>1931.0</v>
      </c>
      <c r="B25" s="6">
        <v>18.0</v>
      </c>
      <c r="C25" s="2" t="s">
        <v>317</v>
      </c>
      <c r="D25" s="2" t="s">
        <v>318</v>
      </c>
      <c r="E25" s="6">
        <v>4500.0</v>
      </c>
      <c r="F25" s="8"/>
      <c r="G25" s="2" t="s">
        <v>319</v>
      </c>
      <c r="H25" s="8"/>
      <c r="I25" s="2" t="s">
        <v>33</v>
      </c>
      <c r="J25" s="11" t="s">
        <v>321</v>
      </c>
      <c r="K25" s="11" t="s">
        <v>364</v>
      </c>
      <c r="L25" s="2" t="s">
        <v>365</v>
      </c>
    </row>
    <row r="26">
      <c r="A26" s="6">
        <v>523.0</v>
      </c>
      <c r="B26" s="6">
        <v>13.0</v>
      </c>
      <c r="C26" s="2" t="s">
        <v>212</v>
      </c>
      <c r="D26" s="2" t="s">
        <v>76</v>
      </c>
      <c r="E26" s="6">
        <v>3400.0</v>
      </c>
      <c r="F26" s="2" t="s">
        <v>55</v>
      </c>
      <c r="G26" s="2" t="s">
        <v>213</v>
      </c>
      <c r="H26" s="8"/>
      <c r="I26" s="2" t="s">
        <v>46</v>
      </c>
      <c r="J26" s="11" t="s">
        <v>214</v>
      </c>
      <c r="K26" s="11" t="s">
        <v>217</v>
      </c>
      <c r="L26" s="2" t="s">
        <v>219</v>
      </c>
    </row>
    <row r="27">
      <c r="A27" s="6">
        <v>443.0</v>
      </c>
      <c r="B27" s="6">
        <v>13.0</v>
      </c>
      <c r="C27" s="2" t="s">
        <v>79</v>
      </c>
      <c r="D27" s="2" t="s">
        <v>80</v>
      </c>
      <c r="E27" s="6">
        <v>4000.0</v>
      </c>
      <c r="F27" s="8"/>
      <c r="G27" s="2" t="s">
        <v>81</v>
      </c>
      <c r="H27" s="2" t="s">
        <v>68</v>
      </c>
      <c r="I27" s="2" t="s">
        <v>33</v>
      </c>
      <c r="J27" s="11" t="s">
        <v>82</v>
      </c>
      <c r="K27" s="11" t="s">
        <v>84</v>
      </c>
      <c r="L27" s="2" t="s">
        <v>89</v>
      </c>
    </row>
    <row r="28">
      <c r="A28" s="6">
        <v>512.0</v>
      </c>
      <c r="B28" s="6">
        <v>10.0</v>
      </c>
      <c r="C28" s="2" t="s">
        <v>170</v>
      </c>
      <c r="D28" s="2" t="s">
        <v>171</v>
      </c>
      <c r="E28" s="6">
        <v>4500.0</v>
      </c>
      <c r="F28" s="2" t="s">
        <v>23</v>
      </c>
      <c r="G28" s="2" t="s">
        <v>172</v>
      </c>
      <c r="H28" s="8"/>
      <c r="I28" s="2" t="s">
        <v>33</v>
      </c>
      <c r="J28" s="11" t="s">
        <v>173</v>
      </c>
      <c r="K28" s="11" t="s">
        <v>180</v>
      </c>
      <c r="L28" s="2" t="s">
        <v>182</v>
      </c>
    </row>
    <row r="29">
      <c r="A29" s="6">
        <v>2345.0</v>
      </c>
      <c r="B29" s="6">
        <v>22.0</v>
      </c>
      <c r="C29" s="2" t="s">
        <v>360</v>
      </c>
      <c r="D29" s="2" t="s">
        <v>242</v>
      </c>
      <c r="E29" s="6">
        <v>3500.0</v>
      </c>
      <c r="F29" s="8"/>
      <c r="G29" s="2" t="s">
        <v>361</v>
      </c>
      <c r="H29" s="2" t="s">
        <v>362</v>
      </c>
      <c r="I29" s="2" t="s">
        <v>33</v>
      </c>
      <c r="J29" s="11" t="s">
        <v>363</v>
      </c>
      <c r="K29" s="11" t="s">
        <v>376</v>
      </c>
      <c r="L29" s="2" t="s">
        <v>377</v>
      </c>
    </row>
    <row r="30">
      <c r="A30" s="6">
        <v>2425.0</v>
      </c>
      <c r="B30" s="6">
        <v>19.0</v>
      </c>
      <c r="C30" s="2" t="s">
        <v>332</v>
      </c>
      <c r="D30" s="2" t="s">
        <v>242</v>
      </c>
      <c r="E30" s="6">
        <v>1500.0</v>
      </c>
      <c r="F30" s="8"/>
      <c r="G30" s="2" t="s">
        <v>333</v>
      </c>
      <c r="H30" s="2" t="s">
        <v>334</v>
      </c>
      <c r="I30" s="2" t="s">
        <v>33</v>
      </c>
      <c r="J30" s="11" t="s">
        <v>337</v>
      </c>
      <c r="K30" s="11" t="s">
        <v>416</v>
      </c>
      <c r="L30" s="2" t="s">
        <v>418</v>
      </c>
    </row>
    <row r="31">
      <c r="A31" s="6">
        <v>2842.0</v>
      </c>
      <c r="B31" s="6">
        <v>6.0</v>
      </c>
      <c r="C31" s="2" t="s">
        <v>165</v>
      </c>
      <c r="D31" s="2" t="s">
        <v>166</v>
      </c>
      <c r="E31" s="6">
        <v>2900.0</v>
      </c>
      <c r="F31" s="2" t="s">
        <v>23</v>
      </c>
      <c r="G31" s="2" t="s">
        <v>167</v>
      </c>
      <c r="H31" s="2" t="s">
        <v>68</v>
      </c>
      <c r="I31" s="2" t="s">
        <v>46</v>
      </c>
      <c r="J31" s="11" t="s">
        <v>168</v>
      </c>
      <c r="K31" s="11" t="s">
        <v>301</v>
      </c>
      <c r="L31" s="2" t="s">
        <v>303</v>
      </c>
    </row>
    <row r="32">
      <c r="A32" s="6">
        <v>506.0</v>
      </c>
      <c r="B32" s="6">
        <v>4.0</v>
      </c>
      <c r="C32" s="2" t="s">
        <v>98</v>
      </c>
      <c r="D32" s="2" t="s">
        <v>42</v>
      </c>
      <c r="E32" s="6">
        <v>15000.0</v>
      </c>
      <c r="F32" s="2" t="s">
        <v>23</v>
      </c>
      <c r="G32" s="2" t="s">
        <v>142</v>
      </c>
      <c r="H32" s="8"/>
      <c r="I32" s="2" t="s">
        <v>33</v>
      </c>
      <c r="J32" s="11" t="s">
        <v>103</v>
      </c>
      <c r="K32" s="11" t="s">
        <v>145</v>
      </c>
      <c r="L32" s="2" t="s">
        <v>149</v>
      </c>
    </row>
    <row r="33">
      <c r="A33" s="6">
        <v>531.0</v>
      </c>
      <c r="B33" s="6">
        <v>4.0</v>
      </c>
      <c r="C33" s="2" t="s">
        <v>112</v>
      </c>
      <c r="D33" s="2" t="s">
        <v>80</v>
      </c>
      <c r="E33" s="6">
        <v>5500.0</v>
      </c>
      <c r="F33" s="2" t="s">
        <v>23</v>
      </c>
      <c r="G33" s="2" t="s">
        <v>113</v>
      </c>
      <c r="H33" s="2" t="s">
        <v>113</v>
      </c>
      <c r="I33" s="2" t="s">
        <v>46</v>
      </c>
      <c r="J33" s="11" t="s">
        <v>114</v>
      </c>
      <c r="K33" s="11" t="s">
        <v>232</v>
      </c>
      <c r="L33" s="2" t="s">
        <v>236</v>
      </c>
    </row>
    <row r="34">
      <c r="A34" s="6">
        <v>436.0</v>
      </c>
      <c r="B34" s="6">
        <v>2.0</v>
      </c>
      <c r="C34" s="2" t="s">
        <v>52</v>
      </c>
      <c r="D34" s="2" t="s">
        <v>53</v>
      </c>
      <c r="E34" s="6">
        <v>12500.0</v>
      </c>
      <c r="F34" s="2" t="s">
        <v>55</v>
      </c>
      <c r="G34" s="2" t="s">
        <v>58</v>
      </c>
      <c r="H34" s="2" t="s">
        <v>60</v>
      </c>
      <c r="I34" s="2" t="s">
        <v>33</v>
      </c>
      <c r="J34" s="11" t="s">
        <v>62</v>
      </c>
      <c r="K34" s="11" t="s">
        <v>64</v>
      </c>
      <c r="L34" s="2" t="s">
        <v>70</v>
      </c>
    </row>
    <row r="35">
      <c r="A35" s="6">
        <v>1907.0</v>
      </c>
      <c r="B35" s="6">
        <v>17.0</v>
      </c>
      <c r="C35" s="2" t="s">
        <v>305</v>
      </c>
      <c r="D35" s="2" t="s">
        <v>243</v>
      </c>
      <c r="E35" s="6">
        <v>6000.0</v>
      </c>
      <c r="F35" s="8"/>
      <c r="G35" s="2" t="s">
        <v>306</v>
      </c>
      <c r="H35" s="2" t="s">
        <v>185</v>
      </c>
      <c r="I35" s="2" t="s">
        <v>46</v>
      </c>
      <c r="J35" s="11" t="s">
        <v>307</v>
      </c>
      <c r="K35" s="11" t="s">
        <v>358</v>
      </c>
      <c r="L35" s="2" t="s">
        <v>359</v>
      </c>
    </row>
    <row r="36">
      <c r="A36" s="6">
        <v>534.0</v>
      </c>
      <c r="B36" s="6">
        <v>20.0</v>
      </c>
      <c r="C36" s="2" t="s">
        <v>241</v>
      </c>
      <c r="D36" s="2" t="s">
        <v>243</v>
      </c>
      <c r="E36" s="6">
        <v>600.0</v>
      </c>
      <c r="F36" s="2" t="s">
        <v>55</v>
      </c>
      <c r="G36" s="2" t="s">
        <v>44</v>
      </c>
      <c r="H36" s="8"/>
      <c r="I36" s="2" t="s">
        <v>46</v>
      </c>
      <c r="J36" s="11" t="s">
        <v>244</v>
      </c>
      <c r="K36" s="11" t="s">
        <v>247</v>
      </c>
      <c r="L36" s="2" t="s">
        <v>251</v>
      </c>
    </row>
    <row r="37">
      <c r="A37" s="6">
        <v>520.0</v>
      </c>
      <c r="B37" s="6">
        <v>14.0</v>
      </c>
      <c r="C37" s="2" t="s">
        <v>202</v>
      </c>
      <c r="D37" s="2" t="s">
        <v>42</v>
      </c>
      <c r="E37" s="6">
        <v>2500.0</v>
      </c>
      <c r="F37" s="2" t="s">
        <v>127</v>
      </c>
      <c r="G37" s="8"/>
      <c r="H37" s="8"/>
      <c r="I37" s="2" t="s">
        <v>46</v>
      </c>
      <c r="J37" s="11" t="s">
        <v>204</v>
      </c>
      <c r="K37" s="11" t="s">
        <v>206</v>
      </c>
      <c r="L37" s="2" t="s">
        <v>211</v>
      </c>
    </row>
    <row r="38">
      <c r="A38" s="6">
        <v>2409.0</v>
      </c>
      <c r="B38" s="6">
        <v>18.0</v>
      </c>
      <c r="C38" s="2" t="s">
        <v>322</v>
      </c>
      <c r="D38" s="2" t="s">
        <v>57</v>
      </c>
      <c r="E38" s="6">
        <v>1400.0</v>
      </c>
      <c r="F38" s="8"/>
      <c r="G38" s="2" t="s">
        <v>324</v>
      </c>
      <c r="H38" s="2" t="s">
        <v>68</v>
      </c>
      <c r="I38" s="2" t="s">
        <v>46</v>
      </c>
      <c r="J38" s="11" t="s">
        <v>328</v>
      </c>
      <c r="K38" s="11" t="s">
        <v>412</v>
      </c>
      <c r="L38" s="2" t="s">
        <v>414</v>
      </c>
    </row>
    <row r="39">
      <c r="A39" s="6">
        <v>546.0</v>
      </c>
      <c r="B39" s="6">
        <v>7.0</v>
      </c>
      <c r="C39" s="2" t="s">
        <v>175</v>
      </c>
      <c r="D39" s="2" t="s">
        <v>176</v>
      </c>
      <c r="E39" s="6">
        <v>18000.0</v>
      </c>
      <c r="F39" s="2" t="s">
        <v>29</v>
      </c>
      <c r="G39" s="2" t="s">
        <v>177</v>
      </c>
      <c r="H39" s="8"/>
      <c r="I39" s="2" t="s">
        <v>33</v>
      </c>
      <c r="J39" s="11" t="s">
        <v>179</v>
      </c>
      <c r="K39" s="11" t="s">
        <v>280</v>
      </c>
      <c r="L39" s="2" t="s">
        <v>282</v>
      </c>
    </row>
    <row r="40">
      <c r="A40" s="6">
        <v>494.0</v>
      </c>
      <c r="B40" s="6">
        <v>14.0</v>
      </c>
      <c r="C40" s="2" t="s">
        <v>513</v>
      </c>
      <c r="D40" s="2" t="s">
        <v>42</v>
      </c>
      <c r="E40" s="6">
        <v>10000.0</v>
      </c>
      <c r="F40" s="2" t="s">
        <v>23</v>
      </c>
      <c r="G40" s="2" t="s">
        <v>110</v>
      </c>
      <c r="H40" s="8"/>
      <c r="I40" s="2" t="s">
        <v>33</v>
      </c>
      <c r="J40" s="11" t="s">
        <v>111</v>
      </c>
      <c r="K40" s="11" t="s">
        <v>116</v>
      </c>
      <c r="L40" s="2" t="s">
        <v>121</v>
      </c>
    </row>
    <row r="41">
      <c r="A41" s="6">
        <v>2853.0</v>
      </c>
      <c r="B41" s="6">
        <v>15.0</v>
      </c>
      <c r="C41" s="2" t="s">
        <v>509</v>
      </c>
      <c r="D41" s="2" t="s">
        <v>253</v>
      </c>
      <c r="E41" s="6">
        <v>7500.0</v>
      </c>
      <c r="F41" s="2" t="s">
        <v>23</v>
      </c>
      <c r="G41" s="2" t="s">
        <v>290</v>
      </c>
      <c r="H41" s="2" t="s">
        <v>291</v>
      </c>
      <c r="I41" s="2" t="s">
        <v>33</v>
      </c>
      <c r="J41" s="11" t="s">
        <v>292</v>
      </c>
      <c r="K41" s="11" t="s">
        <v>440</v>
      </c>
      <c r="L41" s="2" t="s">
        <v>444</v>
      </c>
    </row>
    <row r="42">
      <c r="A42" s="6">
        <v>2366.0</v>
      </c>
      <c r="B42" s="6">
        <v>22.0</v>
      </c>
      <c r="C42" s="2" t="s">
        <v>366</v>
      </c>
      <c r="D42" s="2" t="s">
        <v>367</v>
      </c>
      <c r="E42" s="6">
        <v>3200.0</v>
      </c>
      <c r="F42" s="8"/>
      <c r="G42" s="2" t="s">
        <v>162</v>
      </c>
      <c r="H42" s="8"/>
      <c r="I42" s="2" t="s">
        <v>46</v>
      </c>
      <c r="J42" s="11" t="s">
        <v>371</v>
      </c>
      <c r="K42" s="11" t="s">
        <v>394</v>
      </c>
      <c r="L42" s="2" t="s">
        <v>397</v>
      </c>
    </row>
    <row r="43">
      <c r="A43" s="6">
        <v>2847.0</v>
      </c>
      <c r="B43" s="6">
        <v>7.0</v>
      </c>
      <c r="C43" s="2" t="s">
        <v>181</v>
      </c>
      <c r="D43" s="2" t="s">
        <v>42</v>
      </c>
      <c r="E43" s="6">
        <v>2600.0</v>
      </c>
      <c r="F43" s="2" t="s">
        <v>23</v>
      </c>
      <c r="G43" s="2" t="s">
        <v>184</v>
      </c>
      <c r="H43" s="2" t="s">
        <v>185</v>
      </c>
      <c r="I43" s="2" t="s">
        <v>46</v>
      </c>
      <c r="J43" s="11" t="s">
        <v>187</v>
      </c>
      <c r="K43" s="11" t="s">
        <v>341</v>
      </c>
      <c r="L43" s="2" t="s">
        <v>346</v>
      </c>
    </row>
    <row r="44">
      <c r="A44" s="6">
        <v>564.0</v>
      </c>
      <c r="B44" s="6">
        <v>20.0</v>
      </c>
      <c r="C44" s="2" t="s">
        <v>323</v>
      </c>
      <c r="D44" s="2" t="s">
        <v>80</v>
      </c>
      <c r="E44" s="6">
        <v>2500.0</v>
      </c>
      <c r="F44" s="2" t="s">
        <v>23</v>
      </c>
      <c r="G44" s="2" t="s">
        <v>325</v>
      </c>
      <c r="H44" s="8"/>
      <c r="I44" s="2" t="s">
        <v>33</v>
      </c>
      <c r="J44" s="11" t="s">
        <v>326</v>
      </c>
      <c r="K44" s="11" t="s">
        <v>331</v>
      </c>
      <c r="L44" s="2" t="s">
        <v>335</v>
      </c>
    </row>
    <row r="45">
      <c r="A45" s="6">
        <v>537.0</v>
      </c>
      <c r="B45" s="6">
        <v>11.0</v>
      </c>
      <c r="C45" s="2" t="s">
        <v>240</v>
      </c>
      <c r="D45" s="2" t="s">
        <v>242</v>
      </c>
      <c r="E45" s="6">
        <v>2200.0</v>
      </c>
      <c r="F45" s="2" t="s">
        <v>55</v>
      </c>
      <c r="G45" s="2" t="s">
        <v>224</v>
      </c>
      <c r="H45" s="2" t="s">
        <v>224</v>
      </c>
      <c r="I45" s="2" t="s">
        <v>46</v>
      </c>
      <c r="J45" s="11" t="s">
        <v>245</v>
      </c>
      <c r="K45" s="11" t="s">
        <v>260</v>
      </c>
      <c r="L45" s="2" t="s">
        <v>266</v>
      </c>
    </row>
    <row r="46">
      <c r="A46" s="6">
        <v>2860.0</v>
      </c>
      <c r="B46" s="6">
        <v>12.0</v>
      </c>
      <c r="C46" s="2" t="s">
        <v>261</v>
      </c>
      <c r="D46" s="2" t="s">
        <v>262</v>
      </c>
      <c r="E46" s="6">
        <v>4500.0</v>
      </c>
      <c r="F46" s="2" t="s">
        <v>23</v>
      </c>
      <c r="G46" s="2" t="s">
        <v>439</v>
      </c>
      <c r="H46" s="8"/>
      <c r="I46" s="2" t="s">
        <v>46</v>
      </c>
      <c r="J46" s="11" t="s">
        <v>264</v>
      </c>
      <c r="K46" s="11" t="s">
        <v>441</v>
      </c>
      <c r="L46" s="2" t="s">
        <v>446</v>
      </c>
    </row>
  </sheetData>
  <autoFilter ref="$A$1:$Z$46">
    <sortState ref="A1:Z46">
      <sortCondition ref="C1:C46"/>
    </sortState>
  </autoFilter>
  <hyperlinks>
    <hyperlink r:id="rId1" ref="J2"/>
    <hyperlink r:id="rId2" ref="K2"/>
    <hyperlink r:id="rId3" ref="J3"/>
    <hyperlink r:id="rId4" ref="K3"/>
    <hyperlink r:id="rId5" ref="J4"/>
    <hyperlink r:id="rId6" ref="K4"/>
    <hyperlink r:id="rId7" ref="J5"/>
    <hyperlink r:id="rId8" ref="K5"/>
    <hyperlink r:id="rId9" ref="J6"/>
    <hyperlink r:id="rId10" ref="K6"/>
    <hyperlink r:id="rId11" ref="J7"/>
    <hyperlink r:id="rId12" ref="K7"/>
    <hyperlink r:id="rId13" ref="J8"/>
    <hyperlink r:id="rId14" ref="K8"/>
    <hyperlink r:id="rId15" ref="J9"/>
    <hyperlink r:id="rId16" ref="K9"/>
    <hyperlink r:id="rId17" ref="J10"/>
    <hyperlink r:id="rId18" ref="K10"/>
    <hyperlink r:id="rId19" ref="J11"/>
    <hyperlink r:id="rId20" ref="K11"/>
    <hyperlink r:id="rId21" ref="J12"/>
    <hyperlink r:id="rId22" ref="K12"/>
    <hyperlink r:id="rId23" ref="J13"/>
    <hyperlink r:id="rId24" ref="K13"/>
    <hyperlink r:id="rId25" ref="J14"/>
    <hyperlink r:id="rId26" ref="K14"/>
    <hyperlink r:id="rId27" ref="J15"/>
    <hyperlink r:id="rId28" ref="K15"/>
    <hyperlink r:id="rId29" ref="J16"/>
    <hyperlink r:id="rId30" ref="K16"/>
    <hyperlink r:id="rId31" ref="J17"/>
    <hyperlink r:id="rId32" ref="K17"/>
    <hyperlink r:id="rId33" ref="J18"/>
    <hyperlink r:id="rId34" ref="K18"/>
    <hyperlink r:id="rId35" ref="J19"/>
    <hyperlink r:id="rId36" ref="K19"/>
    <hyperlink r:id="rId37" ref="J20"/>
    <hyperlink r:id="rId38" ref="K20"/>
    <hyperlink r:id="rId39" ref="J21"/>
    <hyperlink r:id="rId40" ref="K21"/>
    <hyperlink r:id="rId41" ref="J22"/>
    <hyperlink r:id="rId42" ref="K22"/>
    <hyperlink r:id="rId43" ref="J23"/>
    <hyperlink r:id="rId44" ref="K23"/>
    <hyperlink r:id="rId45" ref="J24"/>
    <hyperlink r:id="rId46" ref="K24"/>
    <hyperlink r:id="rId47" ref="J25"/>
    <hyperlink r:id="rId48" ref="K25"/>
    <hyperlink r:id="rId49" ref="J26"/>
    <hyperlink r:id="rId50" ref="K26"/>
    <hyperlink r:id="rId51" ref="J27"/>
    <hyperlink r:id="rId52" ref="K27"/>
    <hyperlink r:id="rId53" ref="J28"/>
    <hyperlink r:id="rId54" ref="K28"/>
    <hyperlink r:id="rId55" ref="J29"/>
    <hyperlink r:id="rId56" ref="K29"/>
    <hyperlink r:id="rId57" ref="J30"/>
    <hyperlink r:id="rId58" ref="K30"/>
    <hyperlink r:id="rId59" ref="J31"/>
    <hyperlink r:id="rId60" ref="K31"/>
    <hyperlink r:id="rId61" ref="J32"/>
    <hyperlink r:id="rId62" ref="K32"/>
    <hyperlink r:id="rId63" ref="J33"/>
    <hyperlink r:id="rId64" ref="K33"/>
    <hyperlink r:id="rId65" ref="J34"/>
    <hyperlink r:id="rId66" ref="K34"/>
    <hyperlink r:id="rId67" ref="J35"/>
    <hyperlink r:id="rId68" ref="K35"/>
    <hyperlink r:id="rId69" ref="J36"/>
    <hyperlink r:id="rId70" ref="K36"/>
    <hyperlink r:id="rId71" ref="J37"/>
    <hyperlink r:id="rId72" ref="K37"/>
    <hyperlink r:id="rId73" ref="J38"/>
    <hyperlink r:id="rId74" ref="K38"/>
    <hyperlink r:id="rId75" ref="J39"/>
    <hyperlink r:id="rId76" ref="K39"/>
    <hyperlink r:id="rId77" ref="J40"/>
    <hyperlink r:id="rId78" ref="K40"/>
    <hyperlink r:id="rId79" ref="J41"/>
    <hyperlink r:id="rId80" ref="K41"/>
    <hyperlink r:id="rId81" ref="J42"/>
    <hyperlink r:id="rId82" ref="K42"/>
    <hyperlink r:id="rId83" ref="J43"/>
    <hyperlink r:id="rId84" ref="K43"/>
    <hyperlink r:id="rId85" ref="J44"/>
    <hyperlink r:id="rId86" ref="K44"/>
    <hyperlink r:id="rId87" ref="J45"/>
    <hyperlink r:id="rId88" ref="K45"/>
    <hyperlink r:id="rId89" ref="J46"/>
    <hyperlink r:id="rId90" ref="K46"/>
  </hyperlinks>
  <drawing r:id="rId9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4.14"/>
    <col customWidth="1" min="2" max="2" width="19.29"/>
  </cols>
  <sheetData>
    <row r="1" ht="17.25" customHeight="1"/>
    <row r="2" ht="18.0" customHeight="1">
      <c r="A2" s="10" t="s">
        <v>464</v>
      </c>
      <c r="B2" s="10" t="s">
        <v>465</v>
      </c>
      <c r="G2" s="10" t="s">
        <v>466</v>
      </c>
      <c r="H2" s="10" t="s">
        <v>467</v>
      </c>
    </row>
    <row r="3" ht="19.5" customHeight="1">
      <c r="A3" s="10" t="s">
        <v>468</v>
      </c>
      <c r="B3" s="10" t="s">
        <v>465</v>
      </c>
      <c r="H3" s="10" t="s">
        <v>469</v>
      </c>
    </row>
    <row r="4" ht="18.75" customHeight="1">
      <c r="A4" s="10" t="s">
        <v>470</v>
      </c>
      <c r="B4" s="10" t="s">
        <v>465</v>
      </c>
    </row>
    <row r="5">
      <c r="A5" s="30" t="s">
        <v>471</v>
      </c>
      <c r="B5" s="30" t="s">
        <v>472</v>
      </c>
    </row>
    <row r="6">
      <c r="A6" s="30" t="s">
        <v>473</v>
      </c>
      <c r="B6" s="30" t="s">
        <v>472</v>
      </c>
    </row>
    <row r="7">
      <c r="A7" s="30" t="s">
        <v>474</v>
      </c>
      <c r="B7" s="30" t="s">
        <v>472</v>
      </c>
    </row>
    <row r="8">
      <c r="A8" s="30" t="s">
        <v>475</v>
      </c>
      <c r="B8" s="30" t="s">
        <v>472</v>
      </c>
      <c r="C8" s="10" t="s">
        <v>476</v>
      </c>
    </row>
    <row r="9">
      <c r="A9" s="30" t="s">
        <v>477</v>
      </c>
      <c r="B9" s="30" t="s">
        <v>472</v>
      </c>
    </row>
    <row r="10">
      <c r="A10" s="10" t="s">
        <v>478</v>
      </c>
      <c r="B10" s="10" t="s">
        <v>465</v>
      </c>
    </row>
    <row r="11">
      <c r="A11" s="10" t="s">
        <v>479</v>
      </c>
      <c r="B11" s="10" t="s">
        <v>465</v>
      </c>
    </row>
    <row r="12">
      <c r="A12" s="10" t="s">
        <v>480</v>
      </c>
      <c r="B12" s="10" t="s">
        <v>465</v>
      </c>
    </row>
    <row r="13">
      <c r="A13" s="10" t="s">
        <v>481</v>
      </c>
    </row>
    <row r="14">
      <c r="A14" s="10" t="s">
        <v>482</v>
      </c>
    </row>
  </sheetData>
  <drawing r:id="rId1"/>
</worksheet>
</file>